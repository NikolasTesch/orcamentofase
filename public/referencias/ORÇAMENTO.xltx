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/>
  <workbookPr defaultThemeVersion="124226"/>
  <mc:AlternateContent xmlns:mc="http://schemas.openxmlformats.org/markup-compatibility/2006">
    <mc:Choice Requires="x15">
      <x15ac:absPath xmlns:x15ac="http://schemas.microsoft.com/office/spreadsheetml/2010/11/ac" url="F:\Atendimento\VENDEDORES\NIKOLAS\"/>
    </mc:Choice>
  </mc:AlternateContent>
  <xr:revisionPtr revIDLastSave="0" documentId="8_{EF8A6020-79EE-4C65-91BD-580D56F6386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 PRATA " sheetId="3" r:id="rId1"/>
  </sheets>
  <definedNames>
    <definedName name="_xlnm.Print_Area" localSheetId="0">' PRATA '!$A$1:$J$36</definedName>
  </definedNames>
  <calcPr calcId="191029"/>
</workbook>
</file>

<file path=xl/calcChain.xml><?xml version="1.0" encoding="utf-8"?>
<calcChain xmlns="http://schemas.openxmlformats.org/spreadsheetml/2006/main">
  <c r="I17" i="3" l="1"/>
  <c r="I19" i="3" l="1"/>
  <c r="I18" i="3"/>
  <c r="I20" i="3" l="1"/>
  <c r="I25" i="3" l="1"/>
  <c r="I22" i="3"/>
  <c r="I21" i="3"/>
</calcChain>
</file>

<file path=xl/sharedStrings.xml><?xml version="1.0" encoding="utf-8"?>
<sst xmlns="http://schemas.openxmlformats.org/spreadsheetml/2006/main" count="19" uniqueCount="18">
  <si>
    <t>Descrição</t>
  </si>
  <si>
    <t>Valor R$</t>
  </si>
  <si>
    <t>Total R$</t>
  </si>
  <si>
    <t>Qtd</t>
  </si>
  <si>
    <t>Att.:</t>
  </si>
  <si>
    <t>ORÇAMENTO</t>
  </si>
  <si>
    <t>ENTRADA 50%</t>
  </si>
  <si>
    <t xml:space="preserve">Tel: </t>
  </si>
  <si>
    <r>
      <rPr>
        <b/>
        <u/>
        <sz val="14"/>
        <rFont val="Arial"/>
        <family val="2"/>
      </rPr>
      <t>Condição de pagamento</t>
    </r>
    <r>
      <rPr>
        <b/>
        <sz val="14"/>
        <rFont val="Arial"/>
        <family val="2"/>
      </rPr>
      <t>:</t>
    </r>
    <r>
      <rPr>
        <sz val="14"/>
        <rFont val="Arial"/>
        <family val="2"/>
      </rPr>
      <t xml:space="preserve">  Requisição emitida pela Empresa / Pagamento em NF em conta</t>
    </r>
  </si>
  <si>
    <t xml:space="preserve">Valor Total  </t>
  </si>
  <si>
    <r>
      <rPr>
        <b/>
        <u/>
        <sz val="14"/>
        <rFont val="Futura Md BT"/>
        <family val="2"/>
      </rPr>
      <t>Condição de pagamento</t>
    </r>
    <r>
      <rPr>
        <b/>
        <sz val="14"/>
        <rFont val="Futura Md BT"/>
        <family val="2"/>
      </rPr>
      <t>:</t>
    </r>
    <r>
      <rPr>
        <sz val="14"/>
        <rFont val="Futura Md BT"/>
        <family val="2"/>
      </rPr>
      <t xml:space="preserve"> entrada de 50% no ato do pedido   </t>
    </r>
  </si>
  <si>
    <r>
      <rPr>
        <b/>
        <u/>
        <sz val="14"/>
        <rFont val="Futura Md BT"/>
        <family val="2"/>
      </rPr>
      <t>Validade do orçamento</t>
    </r>
    <r>
      <rPr>
        <b/>
        <sz val="14"/>
        <rFont val="Futura Md BT"/>
        <family val="2"/>
      </rPr>
      <t>:</t>
    </r>
    <r>
      <rPr>
        <sz val="14"/>
        <rFont val="Futura Md BT"/>
        <family val="2"/>
      </rPr>
      <t xml:space="preserve"> 07 dias.</t>
    </r>
  </si>
  <si>
    <t>DESCONTO</t>
  </si>
  <si>
    <t>VALOR A PAGAR</t>
  </si>
  <si>
    <t>e o restante na entrega do mesmo (à vista, pix ou cartão).</t>
  </si>
  <si>
    <r>
      <rPr>
        <b/>
        <u/>
        <sz val="14"/>
        <rFont val="Futura Md BT"/>
        <family val="2"/>
      </rPr>
      <t>Previsão de entrega</t>
    </r>
    <r>
      <rPr>
        <b/>
        <sz val="14"/>
        <rFont val="Futura Md BT"/>
        <family val="2"/>
      </rPr>
      <t>:</t>
    </r>
    <r>
      <rPr>
        <sz val="14"/>
        <rFont val="Futura Md BT"/>
        <family val="2"/>
      </rPr>
      <t xml:space="preserve"> 30 dias.</t>
    </r>
  </si>
  <si>
    <t>VALOR TOTAL A PAGAR</t>
  </si>
  <si>
    <t>TEIXEIRA DE FREITAS - BA,    DE DEZEMBRO DE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</si>
</sst>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(&quot;R$ &quot;* #,##0.00_);_(&quot;R$ &quot;* \(#,##0.00\);_(&quot;R$ &quot;* &quot;-&quot;??_);_(@_)"/>
  </numFmts>
  <fonts count="26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2"/>
      <color indexed="12"/>
      <name val="Arial"/>
      <family val="2"/>
    </font>
    <font>
      <sz val="10"/>
      <color indexed="9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b/>
      <u/>
      <sz val="14"/>
      <name val="Arial"/>
      <family val="2"/>
    </font>
    <font>
      <sz val="14"/>
      <name val="Arial"/>
      <family val="2"/>
    </font>
    <font>
      <u/>
      <sz val="10"/>
      <color theme="10"/>
      <name val="Arial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Futura Md BT"/>
      <family val="2"/>
    </font>
    <font>
      <sz val="10"/>
      <name val="Futura Md BT"/>
      <family val="2"/>
    </font>
    <font>
      <sz val="12"/>
      <name val="Futura Md BT"/>
      <family val="2"/>
    </font>
    <font>
      <b/>
      <sz val="14"/>
      <name val="Futura Md BT"/>
      <family val="2"/>
    </font>
    <font>
      <b/>
      <sz val="16"/>
      <name val="Futura Md BT"/>
      <family val="2"/>
    </font>
    <font>
      <b/>
      <i/>
      <u/>
      <sz val="12"/>
      <name val="Futura Md BT"/>
      <family val="2"/>
    </font>
    <font>
      <u/>
      <sz val="10"/>
      <name val="Futura Md BT"/>
      <family val="2"/>
    </font>
    <font>
      <b/>
      <sz val="14"/>
      <color theme="0"/>
      <name val="Futura Md BT"/>
      <family val="2"/>
    </font>
    <font>
      <sz val="14"/>
      <name val="Futura Md BT"/>
      <family val="2"/>
    </font>
    <font>
      <b/>
      <u/>
      <sz val="14"/>
      <name val="Futura Md BT"/>
      <family val="2"/>
    </font>
    <font>
      <b/>
      <sz val="12"/>
      <color theme="0"/>
      <name val="Futura Md B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164" fontId="1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1" fillId="0" borderId="0"/>
  </cellStyleXfs>
  <cellXfs count="66">
    <xf numFmtId="0" fontId="0" fillId="0" borderId="0" xfId="0"/>
    <xf numFmtId="0" fontId="2" fillId="0" borderId="0" xfId="0" applyFont="1"/>
    <xf numFmtId="0" fontId="0" fillId="0" borderId="0" xfId="0" applyProtection="1">
      <protection locked="0"/>
    </xf>
    <xf numFmtId="16" fontId="5" fillId="0" borderId="0" xfId="0" applyNumberFormat="1" applyFo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164" fontId="4" fillId="0" borderId="0" xfId="1" applyFont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3" fillId="0" borderId="0" xfId="0" applyFont="1"/>
    <xf numFmtId="0" fontId="9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11" fillId="2" borderId="0" xfId="5" applyFont="1" applyFill="1" applyAlignment="1">
      <alignment horizontal="center" vertical="center" wrapText="1"/>
    </xf>
    <xf numFmtId="0" fontId="12" fillId="0" borderId="0" xfId="5" applyFont="1" applyProtection="1">
      <protection locked="0"/>
    </xf>
    <xf numFmtId="0" fontId="11" fillId="2" borderId="0" xfId="5" applyFont="1" applyFill="1" applyAlignment="1">
      <alignment horizontal="center" vertical="center"/>
    </xf>
    <xf numFmtId="164" fontId="12" fillId="0" borderId="0" xfId="6" applyFont="1" applyFill="1" applyBorder="1" applyAlignment="1" applyProtection="1">
      <alignment horizontal="center" vertical="center"/>
    </xf>
    <xf numFmtId="164" fontId="12" fillId="0" borderId="0" xfId="6" applyFont="1" applyFill="1" applyBorder="1" applyAlignment="1" applyProtection="1">
      <alignment horizontal="left" vertical="center"/>
    </xf>
    <xf numFmtId="0" fontId="2" fillId="0" borderId="0" xfId="0" applyFont="1" applyAlignment="1" applyProtection="1">
      <alignment horizontal="right"/>
      <protection locked="0"/>
    </xf>
    <xf numFmtId="164" fontId="13" fillId="0" borderId="0" xfId="6" applyFont="1" applyFill="1" applyBorder="1" applyProtection="1"/>
    <xf numFmtId="43" fontId="12" fillId="0" borderId="0" xfId="7" applyNumberFormat="1" applyFont="1" applyAlignment="1">
      <alignment horizontal="left"/>
    </xf>
    <xf numFmtId="164" fontId="12" fillId="0" borderId="0" xfId="6" applyFont="1" applyFill="1" applyBorder="1" applyAlignment="1" applyProtection="1">
      <alignment vertical="center"/>
    </xf>
    <xf numFmtId="0" fontId="11" fillId="0" borderId="0" xfId="5" applyFont="1" applyAlignment="1">
      <alignment horizontal="center" vertical="center"/>
    </xf>
    <xf numFmtId="0" fontId="12" fillId="0" borderId="0" xfId="5" applyFont="1" applyAlignment="1">
      <alignment horizontal="left" vertical="center"/>
    </xf>
    <xf numFmtId="43" fontId="12" fillId="0" borderId="0" xfId="5" applyNumberFormat="1" applyFont="1" applyProtection="1">
      <protection locked="0"/>
    </xf>
    <xf numFmtId="164" fontId="12" fillId="0" borderId="0" xfId="5" applyNumberFormat="1" applyFont="1"/>
    <xf numFmtId="164" fontId="14" fillId="0" borderId="0" xfId="6" applyFont="1" applyFill="1" applyBorder="1" applyProtection="1"/>
    <xf numFmtId="0" fontId="12" fillId="0" borderId="0" xfId="5" applyFont="1"/>
    <xf numFmtId="0" fontId="16" fillId="0" borderId="0" xfId="0" applyFont="1"/>
    <xf numFmtId="0" fontId="17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19" fillId="0" borderId="0" xfId="0" applyFont="1"/>
    <xf numFmtId="0" fontId="15" fillId="0" borderId="0" xfId="0" applyFont="1" applyProtection="1">
      <protection locked="0"/>
    </xf>
    <xf numFmtId="0" fontId="17" fillId="0" borderId="0" xfId="0" applyFont="1" applyAlignment="1" applyProtection="1">
      <alignment horizontal="left"/>
      <protection locked="0"/>
    </xf>
    <xf numFmtId="0" fontId="22" fillId="4" borderId="1" xfId="0" applyFont="1" applyFill="1" applyBorder="1" applyAlignment="1">
      <alignment horizontal="center"/>
    </xf>
    <xf numFmtId="0" fontId="23" fillId="0" borderId="2" xfId="0" applyFont="1" applyBorder="1" applyAlignment="1" applyProtection="1">
      <alignment horizontal="center"/>
      <protection locked="0"/>
    </xf>
    <xf numFmtId="164" fontId="23" fillId="0" borderId="4" xfId="1" applyFont="1" applyBorder="1" applyProtection="1">
      <protection locked="0"/>
    </xf>
    <xf numFmtId="164" fontId="23" fillId="0" borderId="1" xfId="1" applyFont="1" applyBorder="1" applyProtection="1"/>
    <xf numFmtId="164" fontId="18" fillId="3" borderId="1" xfId="1" applyFont="1" applyFill="1" applyBorder="1" applyAlignment="1" applyProtection="1">
      <alignment horizontal="center"/>
    </xf>
    <xf numFmtId="164" fontId="15" fillId="0" borderId="0" xfId="1" applyFont="1" applyBorder="1" applyAlignment="1" applyProtection="1">
      <alignment horizontal="center"/>
      <protection locked="0"/>
    </xf>
    <xf numFmtId="0" fontId="18" fillId="0" borderId="0" xfId="0" applyFont="1"/>
    <xf numFmtId="0" fontId="18" fillId="0" borderId="0" xfId="0" applyFont="1" applyAlignment="1" applyProtection="1">
      <alignment horizontal="left"/>
      <protection locked="0"/>
    </xf>
    <xf numFmtId="0" fontId="15" fillId="0" borderId="0" xfId="0" applyFont="1" applyAlignment="1" applyProtection="1">
      <alignment horizontal="right"/>
      <protection locked="0"/>
    </xf>
    <xf numFmtId="0" fontId="23" fillId="0" borderId="0" xfId="0" applyFont="1"/>
    <xf numFmtId="0" fontId="23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6" fillId="0" borderId="0" xfId="0" applyFont="1" applyProtection="1">
      <protection locked="0"/>
    </xf>
    <xf numFmtId="0" fontId="25" fillId="0" borderId="0" xfId="0" applyFont="1" applyAlignment="1" applyProtection="1">
      <alignment horizontal="left"/>
      <protection locked="0"/>
    </xf>
    <xf numFmtId="164" fontId="25" fillId="0" borderId="0" xfId="1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right"/>
      <protection locked="0"/>
    </xf>
    <xf numFmtId="0" fontId="15" fillId="0" borderId="0" xfId="0" applyFont="1" applyAlignment="1">
      <alignment horizontal="center"/>
    </xf>
    <xf numFmtId="0" fontId="20" fillId="0" borderId="0" xfId="0" applyFont="1" applyAlignment="1" applyProtection="1">
      <alignment horizontal="left"/>
      <protection locked="0"/>
    </xf>
    <xf numFmtId="0" fontId="19" fillId="0" borderId="0" xfId="0" applyFont="1" applyAlignment="1">
      <alignment horizontal="center"/>
    </xf>
    <xf numFmtId="0" fontId="18" fillId="0" borderId="0" xfId="0" applyFont="1" applyAlignment="1" applyProtection="1">
      <alignment horizontal="center"/>
      <protection locked="0"/>
    </xf>
    <xf numFmtId="0" fontId="22" fillId="4" borderId="3" xfId="0" applyFont="1" applyFill="1" applyBorder="1" applyAlignment="1">
      <alignment horizontal="center"/>
    </xf>
    <xf numFmtId="0" fontId="22" fillId="4" borderId="4" xfId="0" applyFont="1" applyFill="1" applyBorder="1" applyAlignment="1">
      <alignment horizontal="center"/>
    </xf>
    <xf numFmtId="0" fontId="21" fillId="0" borderId="0" xfId="2" applyFont="1" applyFill="1" applyBorder="1" applyAlignment="1" applyProtection="1">
      <alignment horizontal="center"/>
      <protection locked="0"/>
    </xf>
    <xf numFmtId="0" fontId="15" fillId="0" borderId="0" xfId="0" applyFont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18" fillId="3" borderId="2" xfId="0" applyFont="1" applyFill="1" applyBorder="1" applyAlignment="1">
      <alignment horizontal="right"/>
    </xf>
    <xf numFmtId="0" fontId="18" fillId="3" borderId="3" xfId="0" applyFont="1" applyFill="1" applyBorder="1" applyAlignment="1">
      <alignment horizontal="right"/>
    </xf>
    <xf numFmtId="0" fontId="18" fillId="3" borderId="4" xfId="0" applyFont="1" applyFill="1" applyBorder="1" applyAlignment="1">
      <alignment horizontal="right"/>
    </xf>
    <xf numFmtId="0" fontId="23" fillId="0" borderId="2" xfId="0" applyFont="1" applyBorder="1" applyAlignment="1" applyProtection="1">
      <alignment horizontal="left"/>
      <protection locked="0"/>
    </xf>
    <xf numFmtId="0" fontId="23" fillId="0" borderId="3" xfId="0" applyFont="1" applyBorder="1" applyAlignment="1" applyProtection="1">
      <alignment horizontal="left"/>
      <protection locked="0"/>
    </xf>
    <xf numFmtId="0" fontId="23" fillId="0" borderId="4" xfId="0" applyFont="1" applyBorder="1" applyAlignment="1" applyProtection="1">
      <alignment horizontal="left"/>
      <protection locked="0"/>
    </xf>
    <xf numFmtId="0" fontId="23" fillId="0" borderId="5" xfId="0" applyFont="1" applyBorder="1" applyAlignment="1" applyProtection="1">
      <alignment horizontal="left"/>
      <protection locked="0"/>
    </xf>
  </cellXfs>
  <cellStyles count="8">
    <cellStyle name="Hiperlink" xfId="2" builtinId="8"/>
    <cellStyle name="Moeda" xfId="1" builtinId="4"/>
    <cellStyle name="Moeda 2" xfId="4" xr:uid="{00000000-0005-0000-0000-000002000000}"/>
    <cellStyle name="Moeda 3" xfId="3" xr:uid="{00000000-0005-0000-0000-000003000000}"/>
    <cellStyle name="Moeda 4" xfId="6" xr:uid="{00000000-0005-0000-0000-000004000000}"/>
    <cellStyle name="Normal" xfId="0" builtinId="0"/>
    <cellStyle name="Normal 4" xfId="5" xr:uid="{00000000-0005-0000-0000-000006000000}"/>
    <cellStyle name="Normal_Tabela de Preço Fase Sport" xfId="7" xr:uid="{00000000-0005-0000-0000-000007000000}"/>
  </cellStyles>
  <dxfs count="0"/>
  <tableStyles count="0" defaultTableStyle="TableStyleMedium9" defaultPivotStyle="PivotStyleLight16"/>
  <colors>
    <mruColors>
      <color rgb="FF0000FF"/>
      <color rgb="FF1C71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495300</xdr:colOff>
      <xdr:row>26</xdr:row>
      <xdr:rowOff>123825</xdr:rowOff>
    </xdr:from>
    <xdr:to>
      <xdr:col>8</xdr:col>
      <xdr:colOff>910857</xdr:colOff>
      <xdr:row>31</xdr:row>
      <xdr:rowOff>10668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0" y="8115300"/>
          <a:ext cx="2558682" cy="1029843"/>
        </a:xfrm>
        <a:prstGeom prst="rect">
          <a:avLst/>
        </a:prstGeom>
      </xdr:spPr>
    </xdr:pic>
    <xdr:clientData/>
  </xdr:twoCellAnchor>
  <xdr:twoCellAnchor editAs="oneCell">
    <xdr:from>
      <xdr:col>11</xdr:col>
      <xdr:colOff>1514475</xdr:colOff>
      <xdr:row>19</xdr:row>
      <xdr:rowOff>0</xdr:rowOff>
    </xdr:from>
    <xdr:to>
      <xdr:col>16</xdr:col>
      <xdr:colOff>228302</xdr:colOff>
      <xdr:row>23</xdr:row>
      <xdr:rowOff>37981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53725" y="7924800"/>
          <a:ext cx="2380952" cy="9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16</xdr:row>
      <xdr:rowOff>152400</xdr:rowOff>
    </xdr:from>
    <xdr:to>
      <xdr:col>16</xdr:col>
      <xdr:colOff>190208</xdr:colOff>
      <xdr:row>20</xdr:row>
      <xdr:rowOff>133238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63250" y="5857875"/>
          <a:ext cx="2333333" cy="895238"/>
        </a:xfrm>
        <a:prstGeom prst="rect">
          <a:avLst/>
        </a:prstGeom>
      </xdr:spPr>
    </xdr:pic>
    <xdr:clientData/>
  </xdr:twoCellAnchor>
  <xdr:twoCellAnchor editAs="oneCell">
    <xdr:from>
      <xdr:col>11</xdr:col>
      <xdr:colOff>1495425</xdr:colOff>
      <xdr:row>12</xdr:row>
      <xdr:rowOff>0</xdr:rowOff>
    </xdr:from>
    <xdr:to>
      <xdr:col>16</xdr:col>
      <xdr:colOff>161633</xdr:colOff>
      <xdr:row>16</xdr:row>
      <xdr:rowOff>37981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34675" y="4791075"/>
          <a:ext cx="2333333" cy="952381"/>
        </a:xfrm>
        <a:prstGeom prst="rect">
          <a:avLst/>
        </a:prstGeom>
      </xdr:spPr>
    </xdr:pic>
    <xdr:clientData/>
  </xdr:twoCellAnchor>
  <xdr:twoCellAnchor editAs="oneCell">
    <xdr:from>
      <xdr:col>11</xdr:col>
      <xdr:colOff>1514475</xdr:colOff>
      <xdr:row>19</xdr:row>
      <xdr:rowOff>0</xdr:rowOff>
    </xdr:from>
    <xdr:to>
      <xdr:col>16</xdr:col>
      <xdr:colOff>190207</xdr:colOff>
      <xdr:row>23</xdr:row>
      <xdr:rowOff>95124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753725" y="6819900"/>
          <a:ext cx="2342857" cy="1009524"/>
        </a:xfrm>
        <a:prstGeom prst="rect">
          <a:avLst/>
        </a:prstGeom>
      </xdr:spPr>
    </xdr:pic>
    <xdr:clientData/>
  </xdr:twoCellAnchor>
  <xdr:twoCellAnchor editAs="oneCell">
    <xdr:from>
      <xdr:col>16</xdr:col>
      <xdr:colOff>333375</xdr:colOff>
      <xdr:row>0</xdr:row>
      <xdr:rowOff>0</xdr:rowOff>
    </xdr:from>
    <xdr:to>
      <xdr:col>20</xdr:col>
      <xdr:colOff>390101</xdr:colOff>
      <xdr:row>29</xdr:row>
      <xdr:rowOff>27734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239750" y="0"/>
          <a:ext cx="3390476" cy="6723809"/>
        </a:xfrm>
        <a:prstGeom prst="rect">
          <a:avLst/>
        </a:prstGeom>
      </xdr:spPr>
    </xdr:pic>
    <xdr:clientData/>
  </xdr:twoCellAnchor>
  <xdr:twoCellAnchor editAs="oneCell">
    <xdr:from>
      <xdr:col>20</xdr:col>
      <xdr:colOff>371475</xdr:colOff>
      <xdr:row>0</xdr:row>
      <xdr:rowOff>0</xdr:rowOff>
    </xdr:from>
    <xdr:to>
      <xdr:col>24</xdr:col>
      <xdr:colOff>304432</xdr:colOff>
      <xdr:row>7</xdr:row>
      <xdr:rowOff>237889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611600" y="0"/>
          <a:ext cx="2942857" cy="1885714"/>
        </a:xfrm>
        <a:prstGeom prst="rect">
          <a:avLst/>
        </a:prstGeom>
      </xdr:spPr>
    </xdr:pic>
    <xdr:clientData/>
  </xdr:twoCellAnchor>
  <xdr:twoCellAnchor editAs="oneCell">
    <xdr:from>
      <xdr:col>20</xdr:col>
      <xdr:colOff>314325</xdr:colOff>
      <xdr:row>0</xdr:row>
      <xdr:rowOff>0</xdr:rowOff>
    </xdr:from>
    <xdr:to>
      <xdr:col>26</xdr:col>
      <xdr:colOff>85176</xdr:colOff>
      <xdr:row>7</xdr:row>
      <xdr:rowOff>152175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554450" y="1866900"/>
          <a:ext cx="4390476" cy="180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381000</xdr:colOff>
      <xdr:row>6</xdr:row>
      <xdr:rowOff>142876</xdr:rowOff>
    </xdr:from>
    <xdr:to>
      <xdr:col>28</xdr:col>
      <xdr:colOff>18015</xdr:colOff>
      <xdr:row>17</xdr:row>
      <xdr:rowOff>174006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621125" y="3562351"/>
          <a:ext cx="5475840" cy="254573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40"/>
  <sheetViews>
    <sheetView showGridLines="0" tabSelected="1" view="pageBreakPreview" zoomScaleNormal="85" workbookViewId="0">
      <selection activeCell="C16" sqref="C16:G16"/>
    </sheetView>
  </sheetViews>
  <sheetFormatPr defaultRowHeight="12.75" x14ac:dyDescent="0.2"/>
  <cols>
    <col min="1" max="1" width="1.7109375" style="2" customWidth="1"/>
    <col min="2" max="2" width="10.7109375" style="2" customWidth="1"/>
    <col min="3" max="3" width="8.42578125" style="2" customWidth="1"/>
    <col min="4" max="4" width="10.28515625" style="2" customWidth="1"/>
    <col min="5" max="5" width="25.42578125" style="2" customWidth="1"/>
    <col min="6" max="6" width="18.85546875" style="2" customWidth="1"/>
    <col min="7" max="7" width="12.42578125" style="2" customWidth="1"/>
    <col min="8" max="9" width="19.7109375" style="2" customWidth="1"/>
    <col min="10" max="10" width="1.7109375" style="2" customWidth="1"/>
    <col min="11" max="11" width="9.5703125" style="2" bestFit="1" customWidth="1"/>
    <col min="12" max="12" width="22.85546875" style="2" customWidth="1"/>
    <col min="13" max="13" width="11.140625" style="2" bestFit="1" customWidth="1"/>
    <col min="14" max="14" width="9.140625" style="2"/>
    <col min="15" max="15" width="2.7109375" style="2" customWidth="1"/>
    <col min="16" max="18" width="9.140625" style="2"/>
    <col min="19" max="19" width="19.5703125" style="2" bestFit="1" customWidth="1"/>
    <col min="20" max="20" width="12.140625" style="2" customWidth="1"/>
    <col min="21" max="21" width="12.5703125" style="2" customWidth="1"/>
    <col min="22" max="22" width="8.42578125" style="2" customWidth="1"/>
    <col min="23" max="23" width="10.5703125" style="2" customWidth="1"/>
    <col min="24" max="24" width="13.5703125" style="2" customWidth="1"/>
    <col min="25" max="25" width="12.28515625" style="2" customWidth="1"/>
    <col min="26" max="26" width="11.85546875" style="2" customWidth="1"/>
    <col min="27" max="16384" width="9.140625" style="2"/>
  </cols>
  <sheetData>
    <row r="1" spans="1:13" ht="15" customHeight="1" x14ac:dyDescent="0.25">
      <c r="A1"/>
      <c r="B1" s="26"/>
      <c r="C1" s="27"/>
      <c r="D1" s="27"/>
      <c r="E1" s="28"/>
      <c r="F1" s="28"/>
      <c r="G1" s="28"/>
      <c r="H1" s="29"/>
      <c r="I1" s="29"/>
      <c r="J1"/>
    </row>
    <row r="2" spans="1:13" ht="20.25" x14ac:dyDescent="0.3">
      <c r="A2"/>
      <c r="B2" s="52" t="s">
        <v>17</v>
      </c>
      <c r="C2" s="52"/>
      <c r="D2" s="52"/>
      <c r="E2" s="52"/>
      <c r="F2" s="52"/>
      <c r="G2" s="52"/>
      <c r="H2" s="52"/>
      <c r="I2" s="52"/>
    </row>
    <row r="3" spans="1:13" ht="20.100000000000001" customHeight="1" x14ac:dyDescent="0.25">
      <c r="B3" s="57"/>
      <c r="C3" s="57"/>
      <c r="D3" s="58"/>
      <c r="E3" s="58"/>
      <c r="F3" s="58"/>
      <c r="G3" s="30"/>
      <c r="H3" s="58"/>
      <c r="I3" s="58"/>
    </row>
    <row r="4" spans="1:13" ht="20.100000000000001" customHeight="1" x14ac:dyDescent="0.3">
      <c r="B4" s="31" t="s">
        <v>4</v>
      </c>
      <c r="C4" s="50"/>
      <c r="D4" s="50"/>
      <c r="E4" s="50"/>
      <c r="F4" s="50"/>
      <c r="G4" s="50"/>
      <c r="H4" s="51" t="s">
        <v>7</v>
      </c>
      <c r="I4" s="51"/>
    </row>
    <row r="5" spans="1:13" ht="20.100000000000001" customHeight="1" x14ac:dyDescent="0.25">
      <c r="B5" s="32"/>
      <c r="C5" s="32"/>
      <c r="D5" s="33"/>
      <c r="E5" s="30"/>
      <c r="F5" s="33"/>
      <c r="G5" s="30"/>
      <c r="H5" s="56"/>
      <c r="I5" s="56"/>
    </row>
    <row r="6" spans="1:13" ht="20.100000000000001" customHeight="1" x14ac:dyDescent="0.3">
      <c r="B6" s="52" t="s">
        <v>5</v>
      </c>
      <c r="C6" s="52"/>
      <c r="D6" s="52"/>
      <c r="E6" s="52"/>
      <c r="F6" s="52"/>
      <c r="G6" s="52"/>
      <c r="H6" s="52"/>
      <c r="I6" s="52"/>
      <c r="K6" s="3"/>
    </row>
    <row r="7" spans="1:13" ht="16.5" customHeight="1" x14ac:dyDescent="0.25">
      <c r="B7" s="53"/>
      <c r="C7" s="53"/>
      <c r="D7" s="53"/>
      <c r="E7" s="53"/>
      <c r="F7" s="53"/>
      <c r="G7" s="53"/>
      <c r="H7" s="53"/>
      <c r="I7" s="53"/>
      <c r="K7" s="3"/>
    </row>
    <row r="8" spans="1:13" ht="19.5" customHeight="1" x14ac:dyDescent="0.25">
      <c r="B8" s="34" t="s">
        <v>3</v>
      </c>
      <c r="C8" s="54" t="s">
        <v>0</v>
      </c>
      <c r="D8" s="54"/>
      <c r="E8" s="54"/>
      <c r="F8" s="54"/>
      <c r="G8" s="55"/>
      <c r="H8" s="34" t="s">
        <v>1</v>
      </c>
      <c r="I8" s="34" t="s">
        <v>2</v>
      </c>
      <c r="J8" s="4"/>
      <c r="K8" s="4"/>
      <c r="L8" s="4"/>
      <c r="M8" s="4"/>
    </row>
    <row r="9" spans="1:13" ht="18" customHeight="1" x14ac:dyDescent="0.25">
      <c r="B9" s="35"/>
      <c r="C9" s="65"/>
      <c r="D9" s="65"/>
      <c r="E9" s="65"/>
      <c r="F9" s="65"/>
      <c r="G9" s="65"/>
      <c r="H9" s="36"/>
      <c r="I9" s="37"/>
      <c r="K9" s="5"/>
    </row>
    <row r="10" spans="1:13" ht="18" customHeight="1" x14ac:dyDescent="0.25">
      <c r="B10" s="35"/>
      <c r="C10" s="62"/>
      <c r="D10" s="63"/>
      <c r="E10" s="63"/>
      <c r="F10" s="63"/>
      <c r="G10" s="64"/>
      <c r="H10" s="36"/>
      <c r="I10" s="37"/>
      <c r="K10" s="5"/>
    </row>
    <row r="11" spans="1:13" ht="18" customHeight="1" x14ac:dyDescent="0.25">
      <c r="B11" s="35"/>
      <c r="C11" s="62"/>
      <c r="D11" s="63"/>
      <c r="E11" s="63"/>
      <c r="F11" s="63"/>
      <c r="G11" s="64"/>
      <c r="H11" s="36"/>
      <c r="I11" s="37"/>
      <c r="K11" s="5"/>
    </row>
    <row r="12" spans="1:13" ht="18" customHeight="1" x14ac:dyDescent="0.25">
      <c r="B12" s="35"/>
      <c r="C12" s="62"/>
      <c r="D12" s="63"/>
      <c r="E12" s="63"/>
      <c r="F12" s="63"/>
      <c r="G12" s="64"/>
      <c r="H12" s="36"/>
      <c r="I12" s="37"/>
      <c r="K12" s="5"/>
    </row>
    <row r="13" spans="1:13" ht="18" customHeight="1" x14ac:dyDescent="0.25">
      <c r="B13" s="35"/>
      <c r="C13" s="62"/>
      <c r="D13" s="63"/>
      <c r="E13" s="63"/>
      <c r="F13" s="63"/>
      <c r="G13" s="64"/>
      <c r="H13" s="36"/>
      <c r="I13" s="37"/>
      <c r="K13" s="5"/>
    </row>
    <row r="14" spans="1:13" ht="18" customHeight="1" x14ac:dyDescent="0.25">
      <c r="B14" s="35"/>
      <c r="C14" s="62"/>
      <c r="D14" s="63"/>
      <c r="E14" s="63"/>
      <c r="F14" s="63"/>
      <c r="G14" s="64"/>
      <c r="H14" s="36"/>
      <c r="I14" s="37"/>
      <c r="K14" s="5"/>
    </row>
    <row r="15" spans="1:13" ht="18" customHeight="1" x14ac:dyDescent="0.25">
      <c r="B15" s="35"/>
      <c r="C15" s="62"/>
      <c r="D15" s="63"/>
      <c r="E15" s="63"/>
      <c r="F15" s="63"/>
      <c r="G15" s="64"/>
      <c r="H15" s="36"/>
      <c r="I15" s="37"/>
      <c r="K15" s="5"/>
    </row>
    <row r="16" spans="1:13" ht="18" customHeight="1" x14ac:dyDescent="0.25">
      <c r="B16" s="35"/>
      <c r="C16" s="62"/>
      <c r="D16" s="63"/>
      <c r="E16" s="63"/>
      <c r="F16" s="63"/>
      <c r="G16" s="64"/>
      <c r="H16" s="36"/>
      <c r="I16" s="37"/>
      <c r="K16" s="5"/>
    </row>
    <row r="17" spans="2:27" ht="18" customHeight="1" x14ac:dyDescent="0.25">
      <c r="B17" s="35"/>
      <c r="C17" s="62"/>
      <c r="D17" s="63"/>
      <c r="E17" s="63"/>
      <c r="F17" s="63"/>
      <c r="G17" s="64"/>
      <c r="H17" s="36"/>
      <c r="I17" s="37">
        <f t="shared" ref="I17" si="0">+B17*H17</f>
        <v>0</v>
      </c>
      <c r="K17" s="5"/>
    </row>
    <row r="18" spans="2:27" ht="18" customHeight="1" x14ac:dyDescent="0.25">
      <c r="B18" s="35"/>
      <c r="C18" s="62"/>
      <c r="D18" s="63"/>
      <c r="E18" s="63"/>
      <c r="F18" s="63"/>
      <c r="G18" s="64"/>
      <c r="H18" s="36"/>
      <c r="I18" s="37">
        <f t="shared" ref="I18:I19" si="1">+B18*H18</f>
        <v>0</v>
      </c>
      <c r="K18" s="5"/>
    </row>
    <row r="19" spans="2:27" ht="18" customHeight="1" x14ac:dyDescent="0.25">
      <c r="B19" s="35"/>
      <c r="C19" s="62"/>
      <c r="D19" s="63"/>
      <c r="E19" s="63"/>
      <c r="F19" s="63"/>
      <c r="G19" s="64"/>
      <c r="H19" s="36"/>
      <c r="I19" s="37">
        <f t="shared" si="1"/>
        <v>0</v>
      </c>
      <c r="K19" s="5"/>
    </row>
    <row r="20" spans="2:27" ht="18" customHeight="1" x14ac:dyDescent="0.25">
      <c r="B20" s="59" t="s">
        <v>9</v>
      </c>
      <c r="C20" s="60"/>
      <c r="D20" s="60"/>
      <c r="E20" s="60"/>
      <c r="F20" s="60"/>
      <c r="G20" s="60"/>
      <c r="H20" s="61"/>
      <c r="I20" s="38">
        <f>SUM(I9:I19)</f>
        <v>0</v>
      </c>
      <c r="S20" s="13"/>
      <c r="T20" s="14"/>
      <c r="U20" s="14"/>
      <c r="V20" s="12"/>
      <c r="W20" s="14"/>
      <c r="X20" s="14"/>
      <c r="Y20" s="14"/>
      <c r="Z20" s="18"/>
      <c r="AA20" s="17"/>
    </row>
    <row r="21" spans="2:27" ht="18" customHeight="1" x14ac:dyDescent="0.25">
      <c r="B21" s="30"/>
      <c r="C21" s="30"/>
      <c r="D21" s="30"/>
      <c r="E21" s="30"/>
      <c r="F21" s="30"/>
      <c r="G21" s="30"/>
      <c r="H21" s="47" t="s">
        <v>12</v>
      </c>
      <c r="I21" s="48">
        <f>I20-I22</f>
        <v>0</v>
      </c>
      <c r="S21" s="13"/>
      <c r="T21" s="14"/>
      <c r="U21" s="12"/>
      <c r="V21" s="15"/>
      <c r="W21" s="14"/>
      <c r="X21" s="12"/>
      <c r="Y21" s="12"/>
      <c r="Z21" s="19"/>
      <c r="AA21" s="19"/>
    </row>
    <row r="22" spans="2:27" ht="18" x14ac:dyDescent="0.25">
      <c r="B22" s="40" t="s">
        <v>10</v>
      </c>
      <c r="C22" s="41"/>
      <c r="D22" s="41"/>
      <c r="E22" s="41"/>
      <c r="F22" s="41"/>
      <c r="G22" s="30"/>
      <c r="H22" s="49" t="s">
        <v>16</v>
      </c>
      <c r="I22" s="48">
        <f>(I20-I20*0.05)</f>
        <v>0</v>
      </c>
      <c r="L22" s="30" t="s">
        <v>12</v>
      </c>
      <c r="M22" s="39"/>
      <c r="N22" s="16"/>
      <c r="O22" s="6"/>
      <c r="S22" s="19"/>
      <c r="T22" s="20"/>
      <c r="U22" s="20"/>
      <c r="V22" s="21"/>
      <c r="W22" s="20"/>
      <c r="X22" s="20"/>
      <c r="Y22" s="22"/>
      <c r="Z22" s="23"/>
      <c r="AA22" s="23"/>
    </row>
    <row r="23" spans="2:27" ht="18" x14ac:dyDescent="0.25">
      <c r="B23" s="43" t="s">
        <v>14</v>
      </c>
      <c r="C23" s="44"/>
      <c r="D23" s="44"/>
      <c r="E23" s="44"/>
      <c r="F23" s="44"/>
      <c r="G23" s="45"/>
      <c r="L23" s="30" t="s">
        <v>13</v>
      </c>
      <c r="M23" s="39"/>
      <c r="N23" s="16"/>
      <c r="O23" s="6"/>
      <c r="S23" s="19"/>
      <c r="T23" s="24"/>
      <c r="U23" s="24"/>
      <c r="V23" s="25"/>
      <c r="W23" s="24"/>
      <c r="X23" s="24"/>
      <c r="Y23" s="12"/>
      <c r="Z23" s="23"/>
      <c r="AA23" s="25"/>
    </row>
    <row r="24" spans="2:27" ht="18" x14ac:dyDescent="0.25">
      <c r="B24" s="44"/>
      <c r="C24" s="44"/>
      <c r="D24" s="44"/>
      <c r="E24" s="44"/>
      <c r="F24" s="44"/>
      <c r="G24" s="46"/>
      <c r="H24" s="42"/>
      <c r="I24" s="39"/>
      <c r="S24" s="11"/>
      <c r="T24" s="11"/>
      <c r="U24" s="11"/>
      <c r="V24" s="12"/>
      <c r="W24" s="11"/>
      <c r="X24" s="11"/>
    </row>
    <row r="25" spans="2:27" ht="18" x14ac:dyDescent="0.25">
      <c r="B25" s="40" t="s">
        <v>15</v>
      </c>
      <c r="C25" s="44"/>
      <c r="D25" s="44"/>
      <c r="E25" s="44"/>
      <c r="F25" s="44"/>
      <c r="G25" s="46"/>
      <c r="H25" s="30" t="s">
        <v>6</v>
      </c>
      <c r="I25" s="39">
        <f>+I20/2</f>
        <v>0</v>
      </c>
      <c r="S25" s="13"/>
      <c r="T25" s="14"/>
      <c r="U25" s="14"/>
      <c r="V25" s="12"/>
      <c r="W25" s="14"/>
      <c r="X25" s="14"/>
    </row>
    <row r="26" spans="2:27" ht="18" x14ac:dyDescent="0.25">
      <c r="B26" s="40"/>
      <c r="C26" s="44"/>
      <c r="D26" s="44"/>
      <c r="E26" s="44"/>
      <c r="F26" s="44"/>
      <c r="G26" s="44"/>
      <c r="H26" s="44"/>
      <c r="I26" s="46"/>
      <c r="S26" s="13"/>
      <c r="T26" s="14"/>
      <c r="U26" s="14"/>
      <c r="V26" s="12"/>
      <c r="W26" s="14"/>
      <c r="X26" s="14"/>
    </row>
    <row r="27" spans="2:27" ht="18" x14ac:dyDescent="0.25">
      <c r="B27" s="40" t="s">
        <v>11</v>
      </c>
      <c r="C27" s="44"/>
      <c r="D27" s="44"/>
      <c r="E27" s="44"/>
      <c r="F27" s="44"/>
      <c r="G27" s="44"/>
      <c r="H27" s="44"/>
      <c r="I27" s="46"/>
      <c r="S27" s="13"/>
      <c r="T27" s="14"/>
      <c r="U27" s="14"/>
      <c r="V27" s="12"/>
      <c r="W27" s="14"/>
      <c r="X27" s="14"/>
    </row>
    <row r="28" spans="2:27" ht="18" x14ac:dyDescent="0.25">
      <c r="B28" s="9"/>
      <c r="C28" s="9"/>
      <c r="D28" s="9"/>
      <c r="E28" s="9"/>
      <c r="F28" s="9"/>
      <c r="G28" s="9"/>
      <c r="H28" s="9"/>
      <c r="I28" s="10"/>
      <c r="S28" s="13"/>
      <c r="T28" s="14"/>
      <c r="U28" s="14"/>
      <c r="V28" s="12"/>
      <c r="W28" s="14"/>
      <c r="X28" s="14"/>
    </row>
    <row r="29" spans="2:27" ht="18" x14ac:dyDescent="0.25">
      <c r="B29" s="8"/>
      <c r="C29" s="9"/>
      <c r="D29" s="9"/>
      <c r="E29" s="9"/>
      <c r="F29" s="1"/>
      <c r="G29" s="9"/>
      <c r="H29" s="9"/>
      <c r="S29" s="13"/>
      <c r="T29" s="14"/>
      <c r="U29" s="14"/>
      <c r="V29" s="12"/>
      <c r="W29" s="14"/>
      <c r="X29" s="14"/>
    </row>
    <row r="30" spans="2:27" ht="18" x14ac:dyDescent="0.25">
      <c r="B30" s="9"/>
      <c r="C30" s="9"/>
      <c r="D30" s="9"/>
      <c r="E30" s="9"/>
      <c r="F30" s="9"/>
      <c r="G30" s="9"/>
      <c r="H30" s="9"/>
      <c r="S30" s="13"/>
      <c r="T30" s="14"/>
      <c r="U30" s="14"/>
      <c r="V30" s="12"/>
      <c r="W30" s="14"/>
      <c r="X30" s="14"/>
    </row>
    <row r="31" spans="2:27" ht="18" x14ac:dyDescent="0.25">
      <c r="B31" s="8"/>
      <c r="C31" s="9"/>
      <c r="D31" s="9"/>
      <c r="E31" s="9"/>
      <c r="F31" s="9"/>
      <c r="G31" s="9"/>
      <c r="H31" s="9"/>
      <c r="S31" s="13"/>
      <c r="T31" s="14"/>
      <c r="U31" s="12"/>
      <c r="V31" s="15"/>
      <c r="W31" s="14"/>
      <c r="X31" s="12"/>
    </row>
    <row r="32" spans="2:27" ht="23.25" x14ac:dyDescent="0.35">
      <c r="B32" s="7"/>
    </row>
    <row r="40" spans="2:2" ht="18" x14ac:dyDescent="0.25">
      <c r="B40" s="8" t="s">
        <v>8</v>
      </c>
    </row>
  </sheetData>
  <mergeCells count="22">
    <mergeCell ref="B20:H20"/>
    <mergeCell ref="C13:G13"/>
    <mergeCell ref="C18:G18"/>
    <mergeCell ref="C9:G9"/>
    <mergeCell ref="C14:G14"/>
    <mergeCell ref="C19:G19"/>
    <mergeCell ref="C10:G10"/>
    <mergeCell ref="C15:G15"/>
    <mergeCell ref="C16:G16"/>
    <mergeCell ref="C17:G17"/>
    <mergeCell ref="C11:G11"/>
    <mergeCell ref="C12:G12"/>
    <mergeCell ref="B2:I2"/>
    <mergeCell ref="B3:C3"/>
    <mergeCell ref="D3:F3"/>
    <mergeCell ref="H3:I3"/>
    <mergeCell ref="C4:G4"/>
    <mergeCell ref="H4:I4"/>
    <mergeCell ref="B6:I6"/>
    <mergeCell ref="B7:I7"/>
    <mergeCell ref="C8:G8"/>
    <mergeCell ref="H5:I5"/>
  </mergeCells>
  <printOptions horizontalCentered="1"/>
  <pageMargins left="0.26" right="0.3" top="0.57999999999999996" bottom="0.59" header="0.51181102362204722" footer="0.51181102362204722"/>
  <pageSetup paperSize="9" scale="74" orientation="portrait" horizontalDpi="4294967293" vertic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 PRATA </vt:lpstr>
      <vt:lpstr>' PRATA '!Area_de_impressao</vt:lpstr>
    </vt:vector>
  </TitlesOfParts>
  <Company>..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Nikolas Tesch</dc:creator>
  <cp:lastModifiedBy>Nikolas Tesch</cp:lastModifiedBy>
  <cp:lastPrinted>2025-05-05T16:21:11Z</cp:lastPrinted>
  <dcterms:created xsi:type="dcterms:W3CDTF">2006-10-07T11:54:40Z</dcterms:created>
  <dcterms:modified xsi:type="dcterms:W3CDTF">2025-12-01T13:44:35Z</dcterms:modified>
</cp:coreProperties>
</file>