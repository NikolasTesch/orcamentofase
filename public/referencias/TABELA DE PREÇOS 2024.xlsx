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Atendimento\"/>
    </mc:Choice>
  </mc:AlternateContent>
  <xr:revisionPtr revIDLastSave="0" documentId="13_ncr:1_{32E49ABB-00B5-4017-B623-A07246BEC490}" xr6:coauthVersionLast="47" xr6:coauthVersionMax="47" xr10:uidLastSave="{00000000-0000-0000-0000-000000000000}"/>
  <bookViews>
    <workbookView xWindow="-120" yWindow="-120" windowWidth="29040" windowHeight="15840" tabRatio="998" xr2:uid="{00000000-000D-0000-FFFF-FFFF00000000}"/>
  </bookViews>
  <sheets>
    <sheet name="KIT ESPORTIVO" sheetId="1" r:id="rId1"/>
    <sheet name="CAMISA MALHA" sheetId="4" r:id="rId2"/>
    <sheet name="ESTAMPA TOTAL" sheetId="6" r:id="rId3"/>
    <sheet name="CAMISA PP BRANCA" sheetId="7" r:id="rId4"/>
    <sheet name="SOCIAL" sheetId="8" r:id="rId5"/>
    <sheet name="SERVIÇO PEDIDO" sheetId="9" r:id="rId6"/>
    <sheet name="SERVIÇO EXTERNO OS" sheetId="10" r:id="rId7"/>
    <sheet name="TACTEL &amp; HELANCA" sheetId="11" r:id="rId8"/>
    <sheet name="BANDEIRA" sheetId="12" r:id="rId9"/>
    <sheet name="ABADÁ" sheetId="13" r:id="rId10"/>
    <sheet name="PARCERIAS" sheetId="15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2" l="1"/>
  <c r="K10" i="12"/>
  <c r="K11" i="12"/>
  <c r="K12" i="12"/>
  <c r="K8" i="12"/>
  <c r="E9" i="12"/>
  <c r="E10" i="12"/>
  <c r="E11" i="12"/>
  <c r="E12" i="12"/>
  <c r="E8" i="12"/>
  <c r="AE10" i="9" l="1"/>
  <c r="AD10" i="9"/>
  <c r="AE9" i="9"/>
  <c r="AD9" i="9"/>
  <c r="AE8" i="9"/>
  <c r="AD8" i="9"/>
  <c r="J21" i="7" l="1"/>
  <c r="J20" i="7" s="1"/>
  <c r="J19" i="7" s="1"/>
  <c r="J18" i="7" s="1"/>
  <c r="P11" i="8" l="1"/>
  <c r="O11" i="8"/>
  <c r="N11" i="8"/>
  <c r="P9" i="8"/>
  <c r="O9" i="8"/>
  <c r="N9" i="8"/>
  <c r="H7" i="8" l="1"/>
  <c r="H11" i="8"/>
  <c r="I11" i="8"/>
  <c r="J11" i="8"/>
  <c r="K11" i="8"/>
  <c r="H14" i="8"/>
  <c r="I14" i="8"/>
  <c r="J14" i="8"/>
  <c r="K14" i="8"/>
  <c r="H17" i="8"/>
  <c r="I17" i="8"/>
  <c r="J17" i="8"/>
  <c r="K17" i="8"/>
  <c r="H18" i="8"/>
  <c r="I18" i="8"/>
  <c r="J18" i="8"/>
  <c r="K18" i="8"/>
  <c r="H19" i="8"/>
  <c r="H20" i="8" s="1"/>
  <c r="I19" i="8"/>
  <c r="I20" i="8" s="1"/>
  <c r="J19" i="8"/>
  <c r="J20" i="8" s="1"/>
  <c r="K19" i="8"/>
  <c r="K20" i="8"/>
  <c r="H22" i="8"/>
  <c r="I22" i="8"/>
  <c r="J22" i="8"/>
  <c r="K22" i="8"/>
  <c r="H24" i="8"/>
  <c r="I24" i="8"/>
  <c r="J24" i="8"/>
  <c r="K24" i="8"/>
  <c r="G11" i="13" l="1"/>
  <c r="G12" i="13"/>
  <c r="G13" i="13"/>
  <c r="G14" i="13"/>
  <c r="G10" i="13"/>
  <c r="H7" i="11"/>
  <c r="H8" i="11"/>
  <c r="H9" i="11"/>
  <c r="H10" i="11"/>
  <c r="H6" i="11"/>
  <c r="R7" i="8" l="1"/>
  <c r="S7" i="8"/>
  <c r="T7" i="8"/>
  <c r="R11" i="8"/>
  <c r="S11" i="8"/>
  <c r="T11" i="8"/>
  <c r="O7" i="1"/>
  <c r="O11" i="1" s="1"/>
  <c r="O12" i="1" s="1"/>
  <c r="J10" i="7"/>
  <c r="M10" i="7" s="1"/>
  <c r="J9" i="7"/>
  <c r="J8" i="7" s="1"/>
  <c r="K22" i="7"/>
  <c r="M22" i="7" s="1"/>
  <c r="K21" i="7"/>
  <c r="K20" i="7"/>
  <c r="K19" i="7"/>
  <c r="K18" i="7"/>
  <c r="M11" i="7"/>
  <c r="D22" i="7"/>
  <c r="D21" i="7"/>
  <c r="D20" i="7"/>
  <c r="D19" i="7"/>
  <c r="D18" i="7"/>
  <c r="M20" i="7" l="1"/>
  <c r="M21" i="7"/>
  <c r="J7" i="7"/>
  <c r="M7" i="7" s="1"/>
  <c r="M8" i="7"/>
  <c r="M9" i="7"/>
  <c r="M18" i="7" l="1"/>
  <c r="M19" i="7"/>
  <c r="D11" i="6" l="1"/>
  <c r="N11" i="6" s="1"/>
  <c r="C11" i="6"/>
  <c r="D10" i="6"/>
  <c r="N10" i="6" s="1"/>
  <c r="C10" i="6"/>
  <c r="D9" i="6"/>
  <c r="N9" i="6" s="1"/>
  <c r="C9" i="6"/>
  <c r="D8" i="6"/>
  <c r="N8" i="6" s="1"/>
  <c r="C8" i="6"/>
  <c r="D7" i="6"/>
  <c r="N7" i="6" s="1"/>
  <c r="C7" i="6"/>
  <c r="D29" i="6"/>
  <c r="N29" i="6" s="1"/>
  <c r="C29" i="6"/>
  <c r="D28" i="6"/>
  <c r="N28" i="6" s="1"/>
  <c r="C28" i="6"/>
  <c r="D27" i="6"/>
  <c r="N27" i="6" s="1"/>
  <c r="C27" i="6"/>
  <c r="D26" i="6"/>
  <c r="N26" i="6" s="1"/>
  <c r="C26" i="6"/>
  <c r="D25" i="6"/>
  <c r="N25" i="6" s="1"/>
  <c r="C25" i="6"/>
  <c r="D20" i="6"/>
  <c r="N20" i="6" s="1"/>
  <c r="C20" i="6"/>
  <c r="D19" i="6"/>
  <c r="N19" i="6" s="1"/>
  <c r="C19" i="6"/>
  <c r="D18" i="6"/>
  <c r="N18" i="6" s="1"/>
  <c r="C18" i="6"/>
  <c r="D17" i="6"/>
  <c r="N17" i="6" s="1"/>
  <c r="C17" i="6"/>
  <c r="D16" i="6"/>
  <c r="N16" i="6" s="1"/>
  <c r="C16" i="6"/>
  <c r="L28" i="4"/>
  <c r="J28" i="4"/>
  <c r="E28" i="4"/>
  <c r="K28" i="4" s="1"/>
  <c r="C28" i="4"/>
  <c r="I28" i="4" s="1"/>
  <c r="F27" i="4"/>
  <c r="L27" i="4" s="1"/>
  <c r="D27" i="4"/>
  <c r="D26" i="4" s="1"/>
  <c r="F26" i="4"/>
  <c r="F25" i="4" s="1"/>
  <c r="J20" i="4"/>
  <c r="E20" i="4"/>
  <c r="K20" i="4" s="1"/>
  <c r="C20" i="4"/>
  <c r="I20" i="4" s="1"/>
  <c r="D19" i="4"/>
  <c r="E19" i="4" s="1"/>
  <c r="K19" i="4" s="1"/>
  <c r="D18" i="4"/>
  <c r="J18" i="4" s="1"/>
  <c r="J10" i="4"/>
  <c r="I10" i="4"/>
  <c r="E10" i="4"/>
  <c r="K10" i="4" s="1"/>
  <c r="D9" i="4"/>
  <c r="D8" i="4" s="1"/>
  <c r="C9" i="4"/>
  <c r="C8" i="4" s="1"/>
  <c r="H27" i="6" l="1"/>
  <c r="M27" i="6"/>
  <c r="H28" i="6"/>
  <c r="M28" i="6"/>
  <c r="H19" i="6"/>
  <c r="M19" i="6"/>
  <c r="H10" i="6"/>
  <c r="M10" i="6"/>
  <c r="H25" i="6"/>
  <c r="M25" i="6"/>
  <c r="H16" i="6"/>
  <c r="M16" i="6"/>
  <c r="H8" i="6"/>
  <c r="M8" i="6"/>
  <c r="H18" i="6"/>
  <c r="M18" i="6"/>
  <c r="H26" i="6"/>
  <c r="M26" i="6"/>
  <c r="H7" i="6"/>
  <c r="M7" i="6"/>
  <c r="H17" i="6"/>
  <c r="M17" i="6"/>
  <c r="H9" i="6"/>
  <c r="M9" i="6"/>
  <c r="H20" i="6"/>
  <c r="M20" i="6"/>
  <c r="H11" i="6"/>
  <c r="M11" i="6"/>
  <c r="H29" i="6"/>
  <c r="M29" i="6"/>
  <c r="E18" i="6"/>
  <c r="I18" i="6"/>
  <c r="E10" i="6"/>
  <c r="I10" i="6"/>
  <c r="E27" i="6"/>
  <c r="I27" i="6"/>
  <c r="E8" i="6"/>
  <c r="I8" i="6"/>
  <c r="E9" i="6"/>
  <c r="I9" i="6"/>
  <c r="E19" i="6"/>
  <c r="I19" i="6"/>
  <c r="E20" i="6"/>
  <c r="I20" i="6"/>
  <c r="E29" i="6"/>
  <c r="I29" i="6"/>
  <c r="E17" i="6"/>
  <c r="I17" i="6"/>
  <c r="E25" i="6"/>
  <c r="I25" i="6"/>
  <c r="E26" i="6"/>
  <c r="I26" i="6"/>
  <c r="E28" i="6"/>
  <c r="I28" i="6"/>
  <c r="E11" i="6"/>
  <c r="I11" i="6"/>
  <c r="E16" i="6"/>
  <c r="I16" i="6"/>
  <c r="E7" i="6"/>
  <c r="I7" i="6"/>
  <c r="C27" i="4"/>
  <c r="I27" i="4" s="1"/>
  <c r="C18" i="4"/>
  <c r="I18" i="4" s="1"/>
  <c r="J19" i="4"/>
  <c r="E27" i="4"/>
  <c r="K27" i="4" s="1"/>
  <c r="D17" i="4"/>
  <c r="C17" i="4" s="1"/>
  <c r="I17" i="4" s="1"/>
  <c r="L25" i="4"/>
  <c r="F24" i="4"/>
  <c r="L24" i="4" s="1"/>
  <c r="C26" i="4"/>
  <c r="I26" i="4" s="1"/>
  <c r="E26" i="4"/>
  <c r="K26" i="4" s="1"/>
  <c r="D25" i="4"/>
  <c r="J26" i="4"/>
  <c r="E8" i="4"/>
  <c r="K8" i="4" s="1"/>
  <c r="D7" i="4"/>
  <c r="J8" i="4"/>
  <c r="I8" i="4"/>
  <c r="C7" i="4"/>
  <c r="E18" i="4"/>
  <c r="K18" i="4" s="1"/>
  <c r="L26" i="4"/>
  <c r="J17" i="4"/>
  <c r="C19" i="4"/>
  <c r="I19" i="4" s="1"/>
  <c r="J27" i="4"/>
  <c r="J9" i="4"/>
  <c r="I9" i="4"/>
  <c r="E9" i="4"/>
  <c r="K9" i="4" s="1"/>
  <c r="D16" i="4"/>
  <c r="J8" i="6" l="1"/>
  <c r="O8" i="6"/>
  <c r="J7" i="6"/>
  <c r="O7" i="6"/>
  <c r="J16" i="6"/>
  <c r="O16" i="6"/>
  <c r="J27" i="6"/>
  <c r="O27" i="6"/>
  <c r="J10" i="6"/>
  <c r="O10" i="6"/>
  <c r="J26" i="6"/>
  <c r="O26" i="6"/>
  <c r="J29" i="6"/>
  <c r="O29" i="6"/>
  <c r="J28" i="6"/>
  <c r="O28" i="6"/>
  <c r="J17" i="6"/>
  <c r="O17" i="6"/>
  <c r="J20" i="6"/>
  <c r="O20" i="6"/>
  <c r="J11" i="6"/>
  <c r="O11" i="6"/>
  <c r="J25" i="6"/>
  <c r="O25" i="6"/>
  <c r="J9" i="6"/>
  <c r="O9" i="6"/>
  <c r="J18" i="6"/>
  <c r="O18" i="6"/>
  <c r="J19" i="6"/>
  <c r="O19" i="6"/>
  <c r="E17" i="4"/>
  <c r="K17" i="4" s="1"/>
  <c r="J7" i="4"/>
  <c r="D6" i="4"/>
  <c r="E7" i="4"/>
  <c r="K7" i="4" s="1"/>
  <c r="I7" i="4"/>
  <c r="C6" i="4"/>
  <c r="I6" i="4" s="1"/>
  <c r="J25" i="4"/>
  <c r="E25" i="4"/>
  <c r="K25" i="4" s="1"/>
  <c r="C25" i="4"/>
  <c r="I25" i="4" s="1"/>
  <c r="D24" i="4"/>
  <c r="J16" i="4"/>
  <c r="E16" i="4"/>
  <c r="K16" i="4" s="1"/>
  <c r="C16" i="4"/>
  <c r="I16" i="4" s="1"/>
  <c r="P7" i="8"/>
  <c r="P8" i="8"/>
  <c r="P6" i="8"/>
  <c r="J24" i="4" l="1"/>
  <c r="E24" i="4"/>
  <c r="K24" i="4" s="1"/>
  <c r="C24" i="4"/>
  <c r="I24" i="4" s="1"/>
  <c r="E6" i="4"/>
  <c r="K6" i="4" s="1"/>
  <c r="J6" i="4"/>
  <c r="K14" i="13" l="1"/>
  <c r="K13" i="13"/>
  <c r="K12" i="13"/>
  <c r="K11" i="13"/>
  <c r="K10" i="13"/>
  <c r="D16" i="10" l="1"/>
  <c r="D15" i="10"/>
  <c r="D14" i="10"/>
  <c r="K9" i="10"/>
  <c r="J9" i="10"/>
  <c r="D9" i="10"/>
  <c r="C9" i="10"/>
  <c r="K8" i="10"/>
  <c r="J8" i="10"/>
  <c r="D8" i="10"/>
  <c r="C8" i="10"/>
  <c r="K7" i="10"/>
  <c r="J7" i="10"/>
  <c r="D7" i="10"/>
  <c r="C7" i="10"/>
  <c r="K6" i="10"/>
  <c r="J6" i="10"/>
  <c r="D6" i="10"/>
  <c r="C6" i="10"/>
  <c r="K5" i="10"/>
  <c r="J5" i="10"/>
  <c r="D5" i="10"/>
  <c r="C5" i="10"/>
  <c r="K4" i="10"/>
  <c r="J4" i="10"/>
  <c r="D4" i="10"/>
  <c r="C4" i="10"/>
  <c r="D16" i="9"/>
  <c r="D15" i="9"/>
  <c r="D14" i="9"/>
  <c r="X11" i="9"/>
  <c r="X10" i="9"/>
  <c r="X9" i="9"/>
  <c r="X8" i="9"/>
  <c r="X7" i="9"/>
  <c r="X6" i="9"/>
  <c r="X5" i="9"/>
  <c r="X4" i="9"/>
  <c r="Q11" i="9"/>
  <c r="R10" i="9"/>
  <c r="Q10" i="9"/>
  <c r="Q9" i="9"/>
  <c r="Q8" i="9"/>
  <c r="Q7" i="9"/>
  <c r="Q6" i="9"/>
  <c r="Q5" i="9"/>
  <c r="Q4" i="9"/>
  <c r="U9" i="9"/>
  <c r="R9" i="9" s="1"/>
  <c r="U8" i="9"/>
  <c r="R8" i="9" s="1"/>
  <c r="U7" i="9"/>
  <c r="R7" i="9" s="1"/>
  <c r="U6" i="9"/>
  <c r="R6" i="9" s="1"/>
  <c r="U5" i="9"/>
  <c r="R5" i="9" s="1"/>
  <c r="U4" i="9"/>
  <c r="R4" i="9" s="1"/>
  <c r="K9" i="9"/>
  <c r="K8" i="9"/>
  <c r="K7" i="9"/>
  <c r="K6" i="9"/>
  <c r="K5" i="9"/>
  <c r="K4" i="9"/>
  <c r="J10" i="9"/>
  <c r="J9" i="9"/>
  <c r="J8" i="9"/>
  <c r="J7" i="9"/>
  <c r="J6" i="9"/>
  <c r="J5" i="9"/>
  <c r="J4" i="9"/>
  <c r="D9" i="9"/>
  <c r="D8" i="9"/>
  <c r="D7" i="9"/>
  <c r="D6" i="9"/>
  <c r="D5" i="9"/>
  <c r="D4" i="9"/>
  <c r="C10" i="9"/>
  <c r="C9" i="9"/>
  <c r="C8" i="9"/>
  <c r="C7" i="9"/>
  <c r="C6" i="9"/>
  <c r="C5" i="9"/>
  <c r="C4" i="9"/>
  <c r="F11" i="7" l="1"/>
  <c r="F10" i="7"/>
  <c r="F9" i="7"/>
  <c r="F8" i="7"/>
  <c r="F7" i="7"/>
  <c r="L11" i="1" l="1"/>
  <c r="I11" i="1"/>
  <c r="F11" i="1"/>
  <c r="C11" i="1"/>
  <c r="F20" i="7" l="1"/>
  <c r="F21" i="7" l="1"/>
  <c r="F19" i="7"/>
  <c r="F22" i="7"/>
  <c r="F18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Luciade Ramalho</author>
  </authors>
  <commentList>
    <comment ref="B7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CAMISA DRY 
GOLA AMÉRICA
PUNHO E CAMISA: BARRA</t>
        </r>
      </text>
    </comment>
    <comment ref="E7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 xml:space="preserve">Luciade Ramalho:
</t>
        </r>
        <r>
          <rPr>
            <sz val="9"/>
            <color indexed="81"/>
            <rFont val="Segoe UI"/>
            <family val="2"/>
          </rPr>
          <t>FRENTE: DRY
COSTAS: JACQUARD ONDAS
GOLA: FASE
DETALHE LATERAL: DRY
PUNHO CARECA: DRY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 xml:space="preserve">Luciade Ramalho:
OBS.: </t>
        </r>
        <r>
          <rPr>
            <sz val="9"/>
            <color indexed="81"/>
            <rFont val="Segoe UI"/>
            <family val="2"/>
          </rPr>
          <t xml:space="preserve">CAMISA BARRA ARREDONDADA
</t>
        </r>
        <r>
          <rPr>
            <b/>
            <sz val="9"/>
            <color indexed="81"/>
            <rFont val="Segoe UI"/>
            <family val="2"/>
          </rPr>
          <t xml:space="preserve">
</t>
        </r>
        <r>
          <rPr>
            <sz val="9"/>
            <color indexed="81"/>
            <rFont val="Segoe UI"/>
            <family val="2"/>
          </rPr>
          <t>FRENTE: JACQUARD TRIANGULO
COSTAS: JACQUARD TRIANGULO
GOLA: DELTA RIBANA
DETALHE GOLA: DRY
DETALHE LATERAL: DRY
PUNHO CARECA: RIBANA
ESCUDO BORDADO</t>
        </r>
      </text>
    </comment>
    <comment ref="K7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 xml:space="preserve">Luciade Ramalho:
</t>
        </r>
        <r>
          <rPr>
            <sz val="9"/>
            <color indexed="81"/>
            <rFont val="Segoe UI"/>
            <family val="2"/>
          </rPr>
          <t>CAMISA LISA
GOLA CARECA
PUNHO: BARRA
SEM LOGO
APENAS NUMERAÇÃO</t>
        </r>
      </text>
    </comment>
    <comment ref="N7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CAMISA DRY 
GOLA AMÉRICA
PUNHO E CAMISA: BARRA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Luciade Ramalho</author>
  </authors>
  <commentList>
    <comment ref="N5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SANTANENSE</t>
        </r>
      </text>
    </comment>
    <comment ref="O5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DOPTEX</t>
        </r>
      </text>
    </comment>
    <comment ref="P5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DOPTEX</t>
        </r>
      </text>
    </comment>
    <comment ref="R5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SANTANENSE</t>
        </r>
      </text>
    </comment>
    <comment ref="S5" authorId="0" shapeId="0" xr:uid="{00000000-0006-0000-0400-000005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DOPTEX</t>
        </r>
      </text>
    </comment>
    <comment ref="T5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DOPTEX</t>
        </r>
      </text>
    </comment>
    <comment ref="N21" authorId="0" shapeId="0" xr:uid="{00000000-0006-0000-0400-000007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SANTANENSE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Luciade Ramalho</author>
  </authors>
  <commentList>
    <comment ref="D17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VALOR DA IMPRESSÃO DOBRADO.
EX.: 1 COR R$ 1,00 / 2 CORES: R$ 2,00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Luciade Ramalho</author>
  </authors>
  <commentList>
    <comment ref="D17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Luciade Ramalho:</t>
        </r>
        <r>
          <rPr>
            <sz val="9"/>
            <color indexed="81"/>
            <rFont val="Segoe UI"/>
            <family val="2"/>
          </rPr>
          <t xml:space="preserve">
VALOR DA IMPRESSÃO DOBRADO.
EX.: 1 COR R$ 1,00 / 2 CORES: R$ 2,00</t>
        </r>
      </text>
    </comment>
  </commentList>
</comments>
</file>

<file path=xl/sharedStrings.xml><?xml version="1.0" encoding="utf-8"?>
<sst xmlns="http://schemas.openxmlformats.org/spreadsheetml/2006/main" count="757" uniqueCount="346">
  <si>
    <t>CAMISA DRY</t>
  </si>
  <si>
    <t>SHORT DRY</t>
  </si>
  <si>
    <t>MEIÃO 5 FIOS</t>
  </si>
  <si>
    <t>TOTAL KIT</t>
  </si>
  <si>
    <t>PEÇA</t>
  </si>
  <si>
    <t>VALOR</t>
  </si>
  <si>
    <t>MEIÃO 4 FIOS</t>
  </si>
  <si>
    <t>COLETE SIMPLES NUMERADO</t>
  </si>
  <si>
    <t>DESCRIÇÃO</t>
  </si>
  <si>
    <t>CALÇA DE GOLEIRO</t>
  </si>
  <si>
    <t>MEIA CANO LONGO</t>
  </si>
  <si>
    <t>MEIA CANO MÉDIO</t>
  </si>
  <si>
    <t>NOME INDIVIDUAL</t>
  </si>
  <si>
    <t>MANGA LONGA STAMP</t>
  </si>
  <si>
    <t>SEM MAGA/REGATA</t>
  </si>
  <si>
    <t>BOLSÃO UNIFORME</t>
  </si>
  <si>
    <t>BOLSA MASSAGEM</t>
  </si>
  <si>
    <t>OUTROS MATERIAIS</t>
  </si>
  <si>
    <t>COLETE DUPLO NUMERADO</t>
  </si>
  <si>
    <t>COLETE SIMPLES STAMP DRY</t>
  </si>
  <si>
    <t>COLETE DUPLO STAMP DRY</t>
  </si>
  <si>
    <t>BERMUDA HIDRO C/BOLSO</t>
  </si>
  <si>
    <t>CAMISA DE ÁRBITRO</t>
  </si>
  <si>
    <t>SHORT DE ÁRBITRO</t>
  </si>
  <si>
    <t>VALOR FASE</t>
  </si>
  <si>
    <t>KIT PRATA</t>
  </si>
  <si>
    <t>KIT OURO</t>
  </si>
  <si>
    <t>KIT PROFISSIONAL</t>
  </si>
  <si>
    <t>KIT BÁSICO</t>
  </si>
  <si>
    <t>pintura e/ou estampa.</t>
  </si>
  <si>
    <t>CAM CICLE MC DRY</t>
  </si>
  <si>
    <t>CAM CICLE ML DRY</t>
  </si>
  <si>
    <t>CAM CICLE MC CAMB</t>
  </si>
  <si>
    <t>CAM CICLE ML CAMB</t>
  </si>
  <si>
    <t>CAM CICLE ELITE MC</t>
  </si>
  <si>
    <t>CAM CICLE ELITE ML</t>
  </si>
  <si>
    <t>CAMISA CICLISMO</t>
  </si>
  <si>
    <t>10 a 24</t>
  </si>
  <si>
    <t>25 a 54</t>
  </si>
  <si>
    <t>55 a 104</t>
  </si>
  <si>
    <t>105 a 304</t>
  </si>
  <si>
    <t>305 a 504</t>
  </si>
  <si>
    <t>505 a 1004</t>
  </si>
  <si>
    <t>1005 acima</t>
  </si>
  <si>
    <t>PP</t>
  </si>
  <si>
    <t>PV</t>
  </si>
  <si>
    <t>DRY</t>
  </si>
  <si>
    <t>GOLA REDONDA</t>
  </si>
  <si>
    <t>GOLA POLO</t>
  </si>
  <si>
    <t>PIQUET</t>
  </si>
  <si>
    <t>REFLEX SIMPLES</t>
  </si>
  <si>
    <t>REFLEX DUPLO</t>
  </si>
  <si>
    <t>MANGA LONGA</t>
  </si>
  <si>
    <t>SEM MANGA</t>
  </si>
  <si>
    <t>COM BOLSO</t>
  </si>
  <si>
    <t>ADIDAS</t>
  </si>
  <si>
    <t>LAPELA STAMP</t>
  </si>
  <si>
    <t>-</t>
  </si>
  <si>
    <t>+</t>
  </si>
  <si>
    <t>ESTAMPA TOTAL</t>
  </si>
  <si>
    <t>CAMB</t>
  </si>
  <si>
    <t>FRENTE</t>
  </si>
  <si>
    <t>ML  LISA</t>
  </si>
  <si>
    <t>ML ESTAMPADA</t>
  </si>
  <si>
    <t xml:space="preserve">ATENÇÃO: </t>
  </si>
  <si>
    <t>NÃO É PERMITIDO COLOCAR NUMERAÇÃO EM CAMISA PROMOCIONAL.</t>
  </si>
  <si>
    <t>QUANTIDADE</t>
  </si>
  <si>
    <t>LISA</t>
  </si>
  <si>
    <t>COSTAS</t>
  </si>
  <si>
    <t>TOTAL</t>
  </si>
  <si>
    <t>CAMISA PP BRANCA</t>
  </si>
  <si>
    <t>PEITO</t>
  </si>
  <si>
    <t>CAMISA FOTO FRENTE:</t>
  </si>
  <si>
    <t>CAMISA FOTO FRENTEE COSTAS:</t>
  </si>
  <si>
    <t>JALECO BRIM CURTO MC</t>
  </si>
  <si>
    <t>JALECO BRIM CURTO ML</t>
  </si>
  <si>
    <t>JALECO BRIM LONGO MC</t>
  </si>
  <si>
    <t>JALECO BRIM LONGO ML</t>
  </si>
  <si>
    <t>CALÇA BRIM SEM BOLSO (ESLÁSTICO)</t>
  </si>
  <si>
    <t>CALÇA BRIM COM BOLSO  (ESLÁSTICO)</t>
  </si>
  <si>
    <t>CALÇA BRIM (COES)</t>
  </si>
  <si>
    <t xml:space="preserve">CALÇA BRIM MODELO SOCIAL </t>
  </si>
  <si>
    <t>BERMUDA BRIM SEM BOLSO</t>
  </si>
  <si>
    <t>BERMUDA  BRIM COM BOLSO</t>
  </si>
  <si>
    <t>MACACÃO BRIM MC SEM FAIXA</t>
  </si>
  <si>
    <t>MACACÃO BRIM MC COM FAIXA</t>
  </si>
  <si>
    <t>MACACÃO BRIM ML SEM FAIXA</t>
  </si>
  <si>
    <t>MACACÃO BRIM ML COM FAIXA</t>
  </si>
  <si>
    <t>COLETE DE BRIM SEM FAIXA</t>
  </si>
  <si>
    <t>COLETE DE BRIM COM FAIXA</t>
  </si>
  <si>
    <t>AVENTAL BRIM LONGO</t>
  </si>
  <si>
    <t>AVENTAL BRIM CURTO</t>
  </si>
  <si>
    <t>BRANCO</t>
  </si>
  <si>
    <t>COR</t>
  </si>
  <si>
    <t>ROYAL</t>
  </si>
  <si>
    <t>UNILESTER</t>
  </si>
  <si>
    <t>Último preço</t>
  </si>
  <si>
    <t>SOCIAL</t>
  </si>
  <si>
    <t>CAMISA SIMPLES MC</t>
  </si>
  <si>
    <t>CAMISA SIMPLES ML</t>
  </si>
  <si>
    <t>UNIOFFICE</t>
  </si>
  <si>
    <t>LISO</t>
  </si>
  <si>
    <t>LISTRADO</t>
  </si>
  <si>
    <t>CALÇA SOCIAL MAS GABARDINE</t>
  </si>
  <si>
    <t>CALÇA SOCIAL FEM TWO WAY</t>
  </si>
  <si>
    <t>CALÇA SOCIAL MAS TWO WAY</t>
  </si>
  <si>
    <t>BLAZER FEM TWO WAY - SIMPLES</t>
  </si>
  <si>
    <t>BLAZER FEM TWO WAY - FORRADO</t>
  </si>
  <si>
    <t>SAIA SOCIAL TWO WAY</t>
  </si>
  <si>
    <t>PREÇO</t>
  </si>
  <si>
    <t>TOUCA PANIFICAÇÃO - REDE</t>
  </si>
  <si>
    <t>TOUCA GARÇOM - DE AMARRAR ATRÁS</t>
  </si>
  <si>
    <t>AVENTAL TRADICIONAL</t>
  </si>
  <si>
    <t>AVENTAL CURTO BAGUM</t>
  </si>
  <si>
    <t>AVENTAL LONGO BAGUM</t>
  </si>
  <si>
    <t>BONÉ SAARA</t>
  </si>
  <si>
    <t>BONÉ ARABE</t>
  </si>
  <si>
    <t>BONÉ PESCADOR</t>
  </si>
  <si>
    <t>BONÉS</t>
  </si>
  <si>
    <t>TOUCAS E AVENTAIS</t>
  </si>
  <si>
    <t>10 A 24</t>
  </si>
  <si>
    <t>ACIMA DE 25</t>
  </si>
  <si>
    <t>Nº FASE</t>
  </si>
  <si>
    <t>IMPRESSÃO GRANDE</t>
  </si>
  <si>
    <t>CORES</t>
  </si>
  <si>
    <t>IMPRESSÃO PEQUENA</t>
  </si>
  <si>
    <t>ESTAMPA A4</t>
  </si>
  <si>
    <t>QTD</t>
  </si>
  <si>
    <t>ESTAMPA A4 LOCAL</t>
  </si>
  <si>
    <t>TIPO</t>
  </si>
  <si>
    <t>TAMANHO</t>
  </si>
  <si>
    <t>7,5 CM</t>
  </si>
  <si>
    <t>PEITO + NOME</t>
  </si>
  <si>
    <t>SUBLIMÁTICO</t>
  </si>
  <si>
    <t>COSTAS NOME</t>
  </si>
  <si>
    <t>15 CM</t>
  </si>
  <si>
    <t>COSTAS CHAPADO</t>
  </si>
  <si>
    <t>BORDADOS</t>
  </si>
  <si>
    <t>SUBL. + NOME</t>
  </si>
  <si>
    <t>MANGA (Cada)</t>
  </si>
  <si>
    <t>COSTAS SUBL.</t>
  </si>
  <si>
    <t>ESTAMPA P</t>
  </si>
  <si>
    <t>FOTOLITO GRANDE</t>
  </si>
  <si>
    <t>FOTOLITO PEQUENO</t>
  </si>
  <si>
    <t>NUMERAÇÃO COR</t>
  </si>
  <si>
    <t xml:space="preserve">2 X </t>
  </si>
  <si>
    <t>Bordado maior que informado na tebela:</t>
  </si>
  <si>
    <t xml:space="preserve"> - Sob consulta Pint &amp; Bord (Edjon).</t>
  </si>
  <si>
    <t>A4</t>
  </si>
  <si>
    <t>A1</t>
  </si>
  <si>
    <t>ESTAMPA</t>
  </si>
  <si>
    <t>01 A 50</t>
  </si>
  <si>
    <t>ACIMA DE 51</t>
  </si>
  <si>
    <t>ACIMA DE 101</t>
  </si>
  <si>
    <t>BERMUDA</t>
  </si>
  <si>
    <t>CALÇA</t>
  </si>
  <si>
    <t>SHORT SAIA</t>
  </si>
  <si>
    <t>JAQUETA SIMPLES</t>
  </si>
  <si>
    <t>JAQUETA FORRADA</t>
  </si>
  <si>
    <t>TACTEL E HIDRONATIC</t>
  </si>
  <si>
    <t>BERMUDA STAMP</t>
  </si>
  <si>
    <t>SHORT SAIA STAMP</t>
  </si>
  <si>
    <t>HELANCA POLIESTER</t>
  </si>
  <si>
    <t>CALÇA DE CAPOEIRA</t>
  </si>
  <si>
    <t>ADULTO</t>
  </si>
  <si>
    <t>INFANTIL</t>
  </si>
  <si>
    <t>SHORT HIDRO</t>
  </si>
  <si>
    <t>CALÇA BRIM 4 BOLSO + CARGO  (ESLÁST)</t>
  </si>
  <si>
    <t>SIMPLES</t>
  </si>
  <si>
    <t>DUPLA FACE</t>
  </si>
  <si>
    <t>TAFETAH</t>
  </si>
  <si>
    <t>0,90 X 0,70 MT</t>
  </si>
  <si>
    <t>BANDEIRA ESTACANTEIO KIT COM 4</t>
  </si>
  <si>
    <t>ABADÁ SEM MANGA</t>
  </si>
  <si>
    <t xml:space="preserve">BANDANA </t>
  </si>
  <si>
    <t>ESTAMPA TOTAL FRENTE E COSTAS</t>
  </si>
  <si>
    <t xml:space="preserve"> ADICIONAIS / INFORMAÇÕES EXTRAS          </t>
  </si>
  <si>
    <t>NÃO COLOCAR NOME INDIVIDUAL EM ABADAS</t>
  </si>
  <si>
    <t>CACHAREL OU PIPOCA</t>
  </si>
  <si>
    <t>DRY FIT</t>
  </si>
  <si>
    <t>IBIZA</t>
  </si>
  <si>
    <t>POLÍTICA 2024</t>
  </si>
  <si>
    <t>GOLA REDONDA SIMPLES</t>
  </si>
  <si>
    <t>GOLA REDONDA DETALHE</t>
  </si>
  <si>
    <t>10 a 50</t>
  </si>
  <si>
    <t>51 a 100</t>
  </si>
  <si>
    <t>101 a 300</t>
  </si>
  <si>
    <t>300 a 500</t>
  </si>
  <si>
    <t>501 acima</t>
  </si>
  <si>
    <t>GOLA V CARECA SIMPLES</t>
  </si>
  <si>
    <t>GOLA V CARECA DETALHE</t>
  </si>
  <si>
    <t>GOLA POLO SIMPLES</t>
  </si>
  <si>
    <t>GOLA POLO DETALHE</t>
  </si>
  <si>
    <t>Frente</t>
  </si>
  <si>
    <t>Frente e Costas</t>
  </si>
  <si>
    <t>Frente/Costas/Manga</t>
  </si>
  <si>
    <t>EXTRAS</t>
  </si>
  <si>
    <t>BASICAS</t>
  </si>
  <si>
    <t>LINHA ESPORTIVA</t>
  </si>
  <si>
    <t>GOLA V OU AMERICA</t>
  </si>
  <si>
    <t>PRONTA ENTREGA FASE</t>
  </si>
  <si>
    <r>
      <rPr>
        <b/>
        <sz val="10"/>
        <color theme="1"/>
        <rFont val="Calibri"/>
        <family val="2"/>
        <scheme val="minor"/>
      </rPr>
      <t xml:space="preserve">OBS.: </t>
    </r>
    <r>
      <rPr>
        <sz val="10"/>
        <color theme="1"/>
        <rFont val="Calibri"/>
        <family val="2"/>
        <scheme val="minor"/>
      </rPr>
      <t>Kit básico, adicionar serviços</t>
    </r>
  </si>
  <si>
    <t>CAMISA PP CORES</t>
  </si>
  <si>
    <r>
      <t xml:space="preserve">OBS.: </t>
    </r>
    <r>
      <rPr>
        <sz val="10"/>
        <rFont val="Calibri"/>
        <family val="2"/>
        <scheme val="minor"/>
      </rPr>
      <t>PV R$ 4,00 + sobre PP. DRY R$ 5,00 + sobre PV.</t>
    </r>
  </si>
  <si>
    <t>KIT ESCOLINHA / PARCEIROS</t>
  </si>
  <si>
    <t>VALOR C/ DESCONTO DE 25% APENAS PARA O KIT FECHADO</t>
  </si>
  <si>
    <t>BOLSINHA STAMP</t>
  </si>
  <si>
    <t>C/ DESCONTO</t>
  </si>
  <si>
    <t xml:space="preserve">VALOR DO METRO QUADRADO DE ESTAMPA </t>
  </si>
  <si>
    <t>BANDEIRAS</t>
  </si>
  <si>
    <t>HIDRONATICY - TACTEL</t>
  </si>
  <si>
    <t>BOLSA STAMP FASE DE TACTEL</t>
  </si>
  <si>
    <t>ABADAS</t>
  </si>
  <si>
    <t>VALORES USADOS APENAS PARA EVENTOS / CARNAVAL</t>
  </si>
  <si>
    <t>ESSE VALOR É APENAS PARA ESCOLINHAS CADASTRADAS</t>
  </si>
  <si>
    <t>JAQUETA STAMP POLIAGASALHO</t>
  </si>
  <si>
    <t>CALÇAS</t>
  </si>
  <si>
    <t>VALORES</t>
  </si>
  <si>
    <t>CALÇA CAMPO</t>
  </si>
  <si>
    <t>CALÇA COM STRECH</t>
  </si>
  <si>
    <t xml:space="preserve">VALOR DO METRO LINEAR ESTAMPADO  </t>
  </si>
  <si>
    <t xml:space="preserve">CAMISA EM DRY - IMPRESSÃO , ESTAMPA E CORTE LASER </t>
  </si>
  <si>
    <t xml:space="preserve"> -   NOME IDIVIDUAL</t>
  </si>
  <si>
    <t>VALOR PARA AGÊNCIA</t>
  </si>
  <si>
    <t>UNIDADE</t>
  </si>
  <si>
    <t xml:space="preserve">VALOR DE COSTURA </t>
  </si>
  <si>
    <t>KIT DE TREINO P/ ALUNO</t>
  </si>
  <si>
    <t>DEMAIS PRODUTOS SOLICITADOS PELO PROFESSOR OU RESPONSÁVEL</t>
  </si>
  <si>
    <t>ACADEMIAS</t>
  </si>
  <si>
    <t xml:space="preserve">MATERIAL EXCLUSIVO </t>
  </si>
  <si>
    <t>MATERIAL PARA REVENDA</t>
  </si>
  <si>
    <t>ESCOLINHAS DE FUTEBOL</t>
  </si>
  <si>
    <t>ESCOLAS REDE PRIVADA</t>
  </si>
  <si>
    <t>UNIFORMES P/ ALUNO</t>
  </si>
  <si>
    <t>PARCERIAS FASE SPORT</t>
  </si>
  <si>
    <t>OBS: TODOS OS MATERIAIS DE PARCERIA DEVEM VIR INCLUSOS A LOGO DA FASE NA FRENTE E COSTAS DA CAMISA EM DESTAQUE, COM EXCEÇÃO AS CAMISAS DE FORMANDOS.</t>
  </si>
  <si>
    <t>OBS: ABADÁS NÃO ENTRAM DESCONTO DE PARCERIA</t>
  </si>
  <si>
    <t>REVENDEDORES MG</t>
  </si>
  <si>
    <t>REVENDEDORES BA</t>
  </si>
  <si>
    <t>PROMOCIONAL</t>
  </si>
  <si>
    <t>ESPORTIVO</t>
  </si>
  <si>
    <t>CLIENTES</t>
  </si>
  <si>
    <t>VALOR REAL</t>
  </si>
  <si>
    <t>TECIDO</t>
  </si>
  <si>
    <t>%</t>
  </si>
  <si>
    <t>CONTÉM</t>
  </si>
  <si>
    <t>RESPONSÁVEL</t>
  </si>
  <si>
    <t>TELEFONE</t>
  </si>
  <si>
    <t>OBSERVAÇÃO</t>
  </si>
  <si>
    <t>RICARDO MEDEIROS NETO</t>
  </si>
  <si>
    <t>XXXXX</t>
  </si>
  <si>
    <t>VARIADO</t>
  </si>
  <si>
    <t>CONFECCÇÃO</t>
  </si>
  <si>
    <t>PEDIDOS</t>
  </si>
  <si>
    <t>RICARDO</t>
  </si>
  <si>
    <t>73 9833-4985</t>
  </si>
  <si>
    <t>DÚVIDAS VER C/ SÉRGIO</t>
  </si>
  <si>
    <t>BOLA NA REDE MEDEIROS NETO</t>
  </si>
  <si>
    <t>10% A 20%</t>
  </si>
  <si>
    <t>10% PROMOCIONAL 20% ESPORTIVO</t>
  </si>
  <si>
    <t>ISAIAS</t>
  </si>
  <si>
    <t>DÚVIDAS VER C/ FÁBIO</t>
  </si>
  <si>
    <t xml:space="preserve">FABIANA - MAF - CALÇAS </t>
  </si>
  <si>
    <t>JEANS</t>
  </si>
  <si>
    <t>CALÇA JEANS</t>
  </si>
  <si>
    <t>FABIANA</t>
  </si>
  <si>
    <t>73 9994-0214</t>
  </si>
  <si>
    <t>IURI - MINAS - CALÇAS</t>
  </si>
  <si>
    <t>IURI</t>
  </si>
  <si>
    <t>73 8858-6824</t>
  </si>
  <si>
    <t>ADAT</t>
  </si>
  <si>
    <t>CONFECCÇÃO LINHA ESPORTIVA</t>
  </si>
  <si>
    <t>WILSON</t>
  </si>
  <si>
    <t>73 99973-7800</t>
  </si>
  <si>
    <t>DÚVIDAS VER C/ JOHANS</t>
  </si>
  <si>
    <t xml:space="preserve">ED EVENTOS </t>
  </si>
  <si>
    <t>CONFECCÇÃO LINHA ESPORTIVA DRY</t>
  </si>
  <si>
    <t>ED</t>
  </si>
  <si>
    <t>73 9958-8833</t>
  </si>
  <si>
    <t>DÚVIDAS VER C/ BRUNO</t>
  </si>
  <si>
    <t xml:space="preserve">ORIENTE </t>
  </si>
  <si>
    <t>MANIVALDO</t>
  </si>
  <si>
    <t>73 9996-8200</t>
  </si>
  <si>
    <t>PROJETO ATLETA CIDADÃO</t>
  </si>
  <si>
    <t>JORGE</t>
  </si>
  <si>
    <t xml:space="preserve"> 73 9103-7087</t>
  </si>
  <si>
    <t>TODOS</t>
  </si>
  <si>
    <t xml:space="preserve">ASS. DE ARBITROS DE TEIXEIRA </t>
  </si>
  <si>
    <t>XUXU</t>
  </si>
  <si>
    <t>73.99916-1111</t>
  </si>
  <si>
    <t>DANILO RODRIGUES BATISTA</t>
  </si>
  <si>
    <t>FASE</t>
  </si>
  <si>
    <t>30% A 40%</t>
  </si>
  <si>
    <t>30% ATENDIMENTO 40% LOJA</t>
  </si>
  <si>
    <t xml:space="preserve">ESPORTIVOS </t>
  </si>
  <si>
    <t>DANILO</t>
  </si>
  <si>
    <t xml:space="preserve">(38)9.9965-1185 </t>
  </si>
  <si>
    <t>CLAUDIO DA SILVA RIBEIRO</t>
  </si>
  <si>
    <t>KITS ESCOLINHA AERTO - TEOFILO OTONI</t>
  </si>
  <si>
    <t>CLAUDIO</t>
  </si>
  <si>
    <t>(33)9.8760-0000</t>
  </si>
  <si>
    <t xml:space="preserve">PAUL DIEZON MENEZES GUSMÃO </t>
  </si>
  <si>
    <t>PERSONALIZADO</t>
  </si>
  <si>
    <t>PAUL DIEZON</t>
  </si>
  <si>
    <t>(33)9.9975-8470</t>
  </si>
  <si>
    <t>ANTONIO MARQUES</t>
  </si>
  <si>
    <t>TOIZINHO</t>
  </si>
  <si>
    <t xml:space="preserve">LUIZ CARLOS </t>
  </si>
  <si>
    <t>CONFECCÇÃO LINHA ESPORTIVA DRY CAMB</t>
  </si>
  <si>
    <t>LUIZÃO</t>
  </si>
  <si>
    <t>TIRAR PEDIDO COMO PE</t>
  </si>
  <si>
    <t>AGENCIA POLÍTICA 2024</t>
  </si>
  <si>
    <t>PRAZO DE 4 DIAS</t>
  </si>
  <si>
    <t>QUANTIDADE 50</t>
  </si>
  <si>
    <t>QUANTIDADE 20</t>
  </si>
  <si>
    <t>HASTE</t>
  </si>
  <si>
    <t>BASE</t>
  </si>
  <si>
    <t>BONÉ TACTEL</t>
  </si>
  <si>
    <t xml:space="preserve">BONÉ BRIM </t>
  </si>
  <si>
    <t>VISEIRA</t>
  </si>
  <si>
    <t>TOUCA CHEFE - DE AMARRAR ATRÁS</t>
  </si>
  <si>
    <r>
      <t xml:space="preserve">CAMISA MC COM FRISOS </t>
    </r>
    <r>
      <rPr>
        <b/>
        <sz val="12"/>
        <color rgb="FFFF0000"/>
        <rFont val="Calibri"/>
        <family val="2"/>
        <scheme val="minor"/>
      </rPr>
      <t>OU</t>
    </r>
    <r>
      <rPr>
        <sz val="10"/>
        <rFont val="Calibri"/>
        <family val="2"/>
        <scheme val="minor"/>
      </rPr>
      <t xml:space="preserve"> REVEL</t>
    </r>
  </si>
  <si>
    <r>
      <t xml:space="preserve">CAMISA MC COM FRISOS </t>
    </r>
    <r>
      <rPr>
        <b/>
        <sz val="14"/>
        <color rgb="FFFF0000"/>
        <rFont val="Calibri"/>
        <family val="2"/>
        <scheme val="minor"/>
      </rPr>
      <t>+</t>
    </r>
    <r>
      <rPr>
        <sz val="10"/>
        <rFont val="Calibri"/>
        <family val="2"/>
        <scheme val="minor"/>
      </rPr>
      <t xml:space="preserve"> REVEL</t>
    </r>
  </si>
  <si>
    <r>
      <t xml:space="preserve">CAMISA ML COM FRISOS </t>
    </r>
    <r>
      <rPr>
        <b/>
        <sz val="12"/>
        <color rgb="FFFF0000"/>
        <rFont val="Calibri"/>
        <family val="2"/>
        <scheme val="minor"/>
      </rPr>
      <t>OU</t>
    </r>
    <r>
      <rPr>
        <sz val="10"/>
        <rFont val="Calibri"/>
        <family val="2"/>
        <scheme val="minor"/>
      </rPr>
      <t xml:space="preserve"> REVEL</t>
    </r>
  </si>
  <si>
    <r>
      <t xml:space="preserve">CAMISA ML COM FRISOS </t>
    </r>
    <r>
      <rPr>
        <b/>
        <sz val="14"/>
        <color rgb="FFFF0000"/>
        <rFont val="Calibri"/>
        <family val="2"/>
        <scheme val="minor"/>
      </rPr>
      <t>+</t>
    </r>
    <r>
      <rPr>
        <sz val="10"/>
        <rFont val="Calibri"/>
        <family val="2"/>
        <scheme val="minor"/>
      </rPr>
      <t xml:space="preserve"> REVEL</t>
    </r>
  </si>
  <si>
    <t>CAMISA SOC BRIM MC</t>
  </si>
  <si>
    <t>CAMISA SOC BRIM ML</t>
  </si>
  <si>
    <t>CAMISA POLO BRIM MC</t>
  </si>
  <si>
    <t>CAMISA POLO BRIM ML</t>
  </si>
  <si>
    <t>TABELA PREÇO BRIM</t>
  </si>
  <si>
    <t>ESTAMPA DTF LOCAL</t>
  </si>
  <si>
    <t xml:space="preserve">Nº </t>
  </si>
  <si>
    <t xml:space="preserve">0,7 </t>
  </si>
  <si>
    <t xml:space="preserve">1 </t>
  </si>
  <si>
    <t>2</t>
  </si>
  <si>
    <t>3</t>
  </si>
  <si>
    <t>1,5</t>
  </si>
  <si>
    <t>1</t>
  </si>
  <si>
    <t>2,5</t>
  </si>
  <si>
    <t>40 M²</t>
  </si>
  <si>
    <t>50 M²</t>
  </si>
  <si>
    <t>USAR PREFERENCIALMENTE  TACTEL - VALOR METRO QUADRADO</t>
  </si>
  <si>
    <t>TECIDOS OXFORD - TACTEL - CACHAREL</t>
  </si>
  <si>
    <t>EXEMPLOS</t>
  </si>
  <si>
    <t>MACACÃO MODELO SAMU</t>
  </si>
  <si>
    <t>MODIFICADA POR BRUNO 29/10/2024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</si>
</sst>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&quot;R$&quot;\ * #,##0.0_-;\-&quot;R$&quot;\ * #,##0.0_-;_-&quot;R$&quot;\ * &quot;-&quot;??_-;_-@_-"/>
    <numFmt numFmtId="166" formatCode="_(&quot;R$ &quot;* #,##0.0_);_(&quot;R$ &quot;* \(#,##0.0\);_(&quot;R$ &quot;* &quot;-&quot;??_);_(@_)"/>
    <numFmt numFmtId="167" formatCode="_-[$R$-416]\ * #,##0.00_-;\-[$R$-416]\ * #,##0.00_-;_-[$R$-416]\ * &quot;-&quot;??_-;_-@_-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E71717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</cellStyleXfs>
  <cellXfs count="235">
    <xf numFmtId="0" fontId="0" fillId="0" borderId="0" xfId="0"/>
    <xf numFmtId="164" fontId="7" fillId="0" borderId="0" xfId="3" applyFont="1" applyFill="1" applyBorder="1" applyAlignment="1">
      <alignment horizontal="center"/>
    </xf>
    <xf numFmtId="164" fontId="7" fillId="0" borderId="2" xfId="3" applyFont="1" applyFill="1" applyBorder="1" applyAlignment="1">
      <alignment horizontal="center"/>
    </xf>
    <xf numFmtId="0" fontId="2" fillId="0" borderId="0" xfId="0" applyFont="1"/>
    <xf numFmtId="0" fontId="11" fillId="0" borderId="0" xfId="2" applyFont="1" applyAlignment="1">
      <alignment horizontal="center" vertical="center" wrapText="1"/>
    </xf>
    <xf numFmtId="0" fontId="11" fillId="0" borderId="2" xfId="2" applyFont="1" applyBorder="1" applyAlignment="1">
      <alignment horizontal="center" vertical="center" wrapText="1"/>
    </xf>
    <xf numFmtId="164" fontId="12" fillId="0" borderId="0" xfId="3" applyFont="1" applyFill="1" applyBorder="1" applyAlignment="1">
      <alignment horizontal="center"/>
    </xf>
    <xf numFmtId="164" fontId="12" fillId="0" borderId="2" xfId="3" applyFont="1" applyFill="1" applyBorder="1" applyAlignment="1">
      <alignment horizontal="center"/>
    </xf>
    <xf numFmtId="0" fontId="7" fillId="0" borderId="0" xfId="2" applyFont="1" applyProtection="1">
      <protection locked="0"/>
    </xf>
    <xf numFmtId="9" fontId="2" fillId="0" borderId="0" xfId="0" applyNumberFormat="1" applyFont="1" applyAlignment="1">
      <alignment horizontal="center"/>
    </xf>
    <xf numFmtId="9" fontId="2" fillId="0" borderId="1" xfId="0" applyNumberFormat="1" applyFont="1" applyBorder="1" applyAlignment="1">
      <alignment horizontal="left"/>
    </xf>
    <xf numFmtId="0" fontId="0" fillId="0" borderId="1" xfId="0" applyBorder="1"/>
    <xf numFmtId="9" fontId="2" fillId="0" borderId="1" xfId="0" applyNumberFormat="1" applyFont="1" applyBorder="1" applyAlignment="1">
      <alignment horizontal="center"/>
    </xf>
    <xf numFmtId="0" fontId="14" fillId="0" borderId="0" xfId="2" applyFont="1" applyAlignment="1">
      <alignment horizontal="center" vertical="center" wrapText="1"/>
    </xf>
    <xf numFmtId="0" fontId="7" fillId="10" borderId="0" xfId="2" applyFont="1" applyFill="1" applyProtection="1">
      <protection locked="0"/>
    </xf>
    <xf numFmtId="0" fontId="12" fillId="0" borderId="0" xfId="2" applyFont="1"/>
    <xf numFmtId="0" fontId="12" fillId="0" borderId="0" xfId="2" applyFont="1" applyProtection="1">
      <protection locked="0"/>
    </xf>
    <xf numFmtId="0" fontId="12" fillId="10" borderId="0" xfId="2" applyFont="1" applyFill="1" applyProtection="1">
      <protection locked="0"/>
    </xf>
    <xf numFmtId="0" fontId="7" fillId="0" borderId="0" xfId="2" applyFont="1"/>
    <xf numFmtId="0" fontId="19" fillId="10" borderId="0" xfId="2" applyFont="1" applyFill="1"/>
    <xf numFmtId="0" fontId="12" fillId="10" borderId="0" xfId="2" applyFont="1" applyFill="1"/>
    <xf numFmtId="0" fontId="11" fillId="10" borderId="0" xfId="2" applyFont="1" applyFill="1" applyAlignment="1">
      <alignment horizontal="center" vertical="center" wrapText="1"/>
    </xf>
    <xf numFmtId="0" fontId="14" fillId="10" borderId="0" xfId="2" applyFont="1" applyFill="1" applyAlignment="1">
      <alignment horizontal="center" vertical="center" wrapText="1"/>
    </xf>
    <xf numFmtId="0" fontId="11" fillId="10" borderId="0" xfId="2" applyFont="1" applyFill="1" applyAlignment="1">
      <alignment horizontal="left" vertical="center"/>
    </xf>
    <xf numFmtId="164" fontId="12" fillId="10" borderId="0" xfId="3" applyFont="1" applyFill="1" applyBorder="1" applyAlignment="1">
      <alignment horizontal="center"/>
    </xf>
    <xf numFmtId="0" fontId="11" fillId="0" borderId="0" xfId="2" applyFont="1"/>
    <xf numFmtId="0" fontId="20" fillId="10" borderId="0" xfId="2" applyFont="1" applyFill="1"/>
    <xf numFmtId="44" fontId="6" fillId="10" borderId="0" xfId="1" applyFont="1" applyFill="1" applyBorder="1" applyProtection="1"/>
    <xf numFmtId="0" fontId="21" fillId="0" borderId="0" xfId="2" applyFont="1" applyAlignment="1">
      <alignment horizontal="left"/>
    </xf>
    <xf numFmtId="44" fontId="10" fillId="10" borderId="0" xfId="1" applyFont="1" applyFill="1" applyBorder="1" applyProtection="1"/>
    <xf numFmtId="0" fontId="7" fillId="0" borderId="0" xfId="2" applyFont="1" applyAlignment="1">
      <alignment horizontal="left"/>
    </xf>
    <xf numFmtId="0" fontId="7" fillId="0" borderId="0" xfId="2" applyFont="1" applyAlignment="1" applyProtection="1">
      <alignment horizontal="left"/>
      <protection locked="0"/>
    </xf>
    <xf numFmtId="0" fontId="21" fillId="10" borderId="0" xfId="2" applyFont="1" applyFill="1"/>
    <xf numFmtId="164" fontId="7" fillId="0" borderId="0" xfId="3" applyFont="1" applyFill="1" applyBorder="1" applyAlignment="1">
      <alignment vertical="center"/>
    </xf>
    <xf numFmtId="0" fontId="16" fillId="10" borderId="0" xfId="2" applyFont="1" applyFill="1" applyProtection="1">
      <protection locked="0"/>
    </xf>
    <xf numFmtId="0" fontId="23" fillId="10" borderId="0" xfId="2" applyFont="1" applyFill="1" applyProtection="1">
      <protection locked="0"/>
    </xf>
    <xf numFmtId="0" fontId="24" fillId="10" borderId="0" xfId="2" applyFont="1" applyFill="1" applyProtection="1">
      <protection locked="0"/>
    </xf>
    <xf numFmtId="0" fontId="6" fillId="10" borderId="0" xfId="2" applyFont="1" applyFill="1" applyProtection="1">
      <protection locked="0"/>
    </xf>
    <xf numFmtId="164" fontId="25" fillId="0" borderId="0" xfId="3" applyFont="1" applyFill="1" applyBorder="1" applyAlignment="1">
      <alignment horizontal="left"/>
    </xf>
    <xf numFmtId="44" fontId="12" fillId="0" borderId="0" xfId="1" applyFont="1" applyBorder="1" applyProtection="1">
      <protection locked="0"/>
    </xf>
    <xf numFmtId="44" fontId="12" fillId="0" borderId="0" xfId="2" applyNumberFormat="1" applyFont="1" applyProtection="1">
      <protection locked="0"/>
    </xf>
    <xf numFmtId="8" fontId="0" fillId="0" borderId="0" xfId="0" applyNumberFormat="1"/>
    <xf numFmtId="0" fontId="2" fillId="0" borderId="0" xfId="0" applyFont="1" applyAlignment="1">
      <alignment horizontal="center"/>
    </xf>
    <xf numFmtId="0" fontId="22" fillId="0" borderId="2" xfId="2" applyFont="1" applyBorder="1" applyAlignment="1">
      <alignment horizontal="center" vertical="center" wrapText="1"/>
    </xf>
    <xf numFmtId="0" fontId="27" fillId="0" borderId="0" xfId="0" applyFont="1"/>
    <xf numFmtId="0" fontId="0" fillId="10" borderId="0" xfId="0" applyFill="1"/>
    <xf numFmtId="0" fontId="29" fillId="0" borderId="0" xfId="0" applyFont="1"/>
    <xf numFmtId="0" fontId="28" fillId="5" borderId="0" xfId="2" applyFont="1" applyFill="1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28" fillId="5" borderId="0" xfId="2" applyFont="1" applyFill="1" applyAlignment="1">
      <alignment horizontal="left" vertical="center"/>
    </xf>
    <xf numFmtId="165" fontId="30" fillId="0" borderId="0" xfId="3" applyNumberFormat="1" applyFont="1" applyFill="1" applyBorder="1" applyAlignment="1">
      <alignment horizontal="center"/>
    </xf>
    <xf numFmtId="165" fontId="30" fillId="0" borderId="2" xfId="3" applyNumberFormat="1" applyFont="1" applyFill="1" applyBorder="1" applyAlignment="1">
      <alignment horizontal="center"/>
    </xf>
    <xf numFmtId="165" fontId="22" fillId="0" borderId="2" xfId="3" applyNumberFormat="1" applyFont="1" applyFill="1" applyBorder="1" applyAlignment="1">
      <alignment horizontal="center"/>
    </xf>
    <xf numFmtId="164" fontId="29" fillId="0" borderId="0" xfId="1" applyNumberFormat="1" applyFont="1" applyFill="1" applyBorder="1"/>
    <xf numFmtId="0" fontId="22" fillId="0" borderId="0" xfId="2" applyFont="1" applyAlignment="1">
      <alignment horizontal="left" vertical="center"/>
    </xf>
    <xf numFmtId="44" fontId="29" fillId="0" borderId="0" xfId="1" applyFont="1"/>
    <xf numFmtId="9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44" fontId="29" fillId="0" borderId="0" xfId="1" applyFont="1" applyFill="1"/>
    <xf numFmtId="44" fontId="29" fillId="0" borderId="0" xfId="0" applyNumberFormat="1" applyFont="1"/>
    <xf numFmtId="0" fontId="28" fillId="2" borderId="0" xfId="2" applyFont="1" applyFill="1" applyAlignment="1">
      <alignment horizontal="left" vertical="center"/>
    </xf>
    <xf numFmtId="0" fontId="22" fillId="6" borderId="0" xfId="2" applyFont="1" applyFill="1" applyAlignment="1">
      <alignment horizontal="left" vertical="center"/>
    </xf>
    <xf numFmtId="0" fontId="31" fillId="0" borderId="0" xfId="0" applyFont="1"/>
    <xf numFmtId="0" fontId="32" fillId="0" borderId="0" xfId="0" applyFont="1"/>
    <xf numFmtId="0" fontId="14" fillId="0" borderId="0" xfId="0" applyFont="1"/>
    <xf numFmtId="0" fontId="31" fillId="4" borderId="0" xfId="0" applyFont="1" applyFill="1"/>
    <xf numFmtId="0" fontId="29" fillId="4" borderId="0" xfId="0" applyFont="1" applyFill="1"/>
    <xf numFmtId="0" fontId="31" fillId="3" borderId="0" xfId="0" applyFont="1" applyFill="1"/>
    <xf numFmtId="0" fontId="31" fillId="3" borderId="0" xfId="0" applyFont="1" applyFill="1" applyAlignment="1">
      <alignment horizontal="center"/>
    </xf>
    <xf numFmtId="167" fontId="29" fillId="0" borderId="0" xfId="1" applyNumberFormat="1" applyFont="1"/>
    <xf numFmtId="0" fontId="31" fillId="10" borderId="0" xfId="0" applyFont="1" applyFill="1"/>
    <xf numFmtId="44" fontId="31" fillId="10" borderId="0" xfId="1" applyFont="1" applyFill="1"/>
    <xf numFmtId="0" fontId="29" fillId="10" borderId="0" xfId="0" applyFont="1" applyFill="1"/>
    <xf numFmtId="0" fontId="28" fillId="5" borderId="1" xfId="0" applyFont="1" applyFill="1" applyBorder="1" applyAlignment="1">
      <alignment horizontal="center"/>
    </xf>
    <xf numFmtId="0" fontId="28" fillId="5" borderId="1" xfId="0" applyFont="1" applyFill="1" applyBorder="1"/>
    <xf numFmtId="0" fontId="30" fillId="0" borderId="0" xfId="2" applyFont="1" applyAlignment="1">
      <alignment horizontal="left"/>
    </xf>
    <xf numFmtId="44" fontId="30" fillId="0" borderId="0" xfId="1" applyFont="1" applyFill="1" applyBorder="1" applyProtection="1"/>
    <xf numFmtId="0" fontId="28" fillId="2" borderId="0" xfId="2" applyFont="1" applyFill="1" applyAlignment="1">
      <alignment horizontal="center" vertical="center" wrapText="1"/>
    </xf>
    <xf numFmtId="0" fontId="31" fillId="0" borderId="0" xfId="0" applyFont="1" applyAlignment="1">
      <alignment horizontal="center"/>
    </xf>
    <xf numFmtId="9" fontId="33" fillId="0" borderId="0" xfId="0" applyNumberFormat="1" applyFont="1" applyAlignment="1">
      <alignment horizontal="center"/>
    </xf>
    <xf numFmtId="44" fontId="29" fillId="0" borderId="0" xfId="1" applyFont="1" applyFill="1" applyBorder="1"/>
    <xf numFmtId="0" fontId="31" fillId="0" borderId="8" xfId="0" applyFont="1" applyBorder="1" applyAlignment="1">
      <alignment horizontal="center"/>
    </xf>
    <xf numFmtId="43" fontId="29" fillId="0" borderId="0" xfId="0" applyNumberFormat="1" applyFont="1"/>
    <xf numFmtId="0" fontId="33" fillId="2" borderId="0" xfId="0" applyFont="1" applyFill="1"/>
    <xf numFmtId="0" fontId="29" fillId="0" borderId="0" xfId="0" applyFont="1" applyAlignment="1">
      <alignment horizontal="right"/>
    </xf>
    <xf numFmtId="0" fontId="31" fillId="4" borderId="0" xfId="0" applyFont="1" applyFill="1" applyAlignment="1">
      <alignment horizontal="right"/>
    </xf>
    <xf numFmtId="44" fontId="31" fillId="4" borderId="0" xfId="1" applyFont="1" applyFill="1"/>
    <xf numFmtId="0" fontId="26" fillId="5" borderId="0" xfId="0" applyFont="1" applyFill="1"/>
    <xf numFmtId="0" fontId="13" fillId="5" borderId="0" xfId="0" applyFont="1" applyFill="1"/>
    <xf numFmtId="0" fontId="28" fillId="5" borderId="0" xfId="0" applyFont="1" applyFill="1"/>
    <xf numFmtId="0" fontId="31" fillId="3" borderId="1" xfId="0" applyFont="1" applyFill="1" applyBorder="1"/>
    <xf numFmtId="0" fontId="22" fillId="0" borderId="9" xfId="2" applyFont="1" applyBorder="1" applyAlignment="1">
      <alignment horizontal="center" vertical="center"/>
    </xf>
    <xf numFmtId="0" fontId="22" fillId="4" borderId="3" xfId="2" applyFont="1" applyFill="1" applyBorder="1" applyAlignment="1">
      <alignment horizontal="center" vertical="center"/>
    </xf>
    <xf numFmtId="0" fontId="28" fillId="8" borderId="3" xfId="2" applyFont="1" applyFill="1" applyBorder="1" applyAlignment="1">
      <alignment horizontal="center" vertical="center"/>
    </xf>
    <xf numFmtId="0" fontId="22" fillId="9" borderId="8" xfId="2" applyFont="1" applyFill="1" applyBorder="1" applyAlignment="1">
      <alignment horizontal="center" vertical="center"/>
    </xf>
    <xf numFmtId="0" fontId="22" fillId="3" borderId="0" xfId="2" applyFont="1" applyFill="1" applyAlignment="1">
      <alignment horizontal="center" vertical="center" wrapText="1"/>
    </xf>
    <xf numFmtId="0" fontId="22" fillId="3" borderId="5" xfId="2" applyFont="1" applyFill="1" applyBorder="1" applyAlignment="1">
      <alignment horizontal="center" vertical="center" wrapText="1"/>
    </xf>
    <xf numFmtId="0" fontId="22" fillId="3" borderId="4" xfId="2" applyFont="1" applyFill="1" applyBorder="1" applyAlignment="1">
      <alignment horizontal="center" vertical="center" wrapText="1"/>
    </xf>
    <xf numFmtId="0" fontId="30" fillId="0" borderId="0" xfId="2" applyFont="1"/>
    <xf numFmtId="165" fontId="29" fillId="0" borderId="0" xfId="1" applyNumberFormat="1" applyFont="1" applyBorder="1"/>
    <xf numFmtId="165" fontId="29" fillId="0" borderId="4" xfId="1" applyNumberFormat="1" applyFont="1" applyBorder="1"/>
    <xf numFmtId="44" fontId="29" fillId="0" borderId="0" xfId="1" applyFont="1" applyBorder="1"/>
    <xf numFmtId="44" fontId="29" fillId="0" borderId="4" xfId="1" applyFont="1" applyBorder="1"/>
    <xf numFmtId="0" fontId="30" fillId="0" borderId="0" xfId="2" applyFont="1" applyAlignment="1">
      <alignment horizontal="left" vertical="center"/>
    </xf>
    <xf numFmtId="165" fontId="29" fillId="0" borderId="5" xfId="1" applyNumberFormat="1" applyFont="1" applyFill="1" applyBorder="1" applyAlignment="1">
      <alignment vertical="center" wrapText="1"/>
    </xf>
    <xf numFmtId="165" fontId="29" fillId="0" borderId="4" xfId="1" applyNumberFormat="1" applyFont="1" applyFill="1" applyBorder="1" applyAlignment="1">
      <alignment vertical="center" wrapText="1"/>
    </xf>
    <xf numFmtId="165" fontId="29" fillId="0" borderId="0" xfId="1" applyNumberFormat="1" applyFont="1" applyFill="1" applyBorder="1" applyAlignment="1">
      <alignment vertical="center" wrapText="1"/>
    </xf>
    <xf numFmtId="44" fontId="29" fillId="0" borderId="5" xfId="1" applyFont="1" applyFill="1" applyBorder="1" applyAlignment="1">
      <alignment vertical="center" wrapText="1"/>
    </xf>
    <xf numFmtId="44" fontId="29" fillId="0" borderId="4" xfId="1" applyFont="1" applyFill="1" applyBorder="1" applyAlignment="1">
      <alignment vertical="center" wrapText="1"/>
    </xf>
    <xf numFmtId="44" fontId="29" fillId="0" borderId="0" xfId="1" applyFont="1" applyFill="1" applyBorder="1" applyAlignment="1">
      <alignment vertical="center" wrapText="1"/>
    </xf>
    <xf numFmtId="0" fontId="30" fillId="7" borderId="0" xfId="2" applyFont="1" applyFill="1"/>
    <xf numFmtId="165" fontId="29" fillId="7" borderId="0" xfId="1" applyNumberFormat="1" applyFont="1" applyFill="1" applyBorder="1"/>
    <xf numFmtId="165" fontId="29" fillId="7" borderId="4" xfId="1" applyNumberFormat="1" applyFont="1" applyFill="1" applyBorder="1"/>
    <xf numFmtId="44" fontId="29" fillId="7" borderId="0" xfId="1" applyFont="1" applyFill="1" applyBorder="1"/>
    <xf numFmtId="44" fontId="29" fillId="7" borderId="4" xfId="1" applyFont="1" applyFill="1" applyBorder="1"/>
    <xf numFmtId="44" fontId="29" fillId="0" borderId="5" xfId="1" applyFont="1" applyFill="1" applyBorder="1"/>
    <xf numFmtId="44" fontId="29" fillId="0" borderId="4" xfId="1" applyFont="1" applyFill="1" applyBorder="1"/>
    <xf numFmtId="165" fontId="29" fillId="0" borderId="0" xfId="1" applyNumberFormat="1" applyFont="1" applyFill="1" applyBorder="1"/>
    <xf numFmtId="165" fontId="29" fillId="0" borderId="4" xfId="1" applyNumberFormat="1" applyFont="1" applyFill="1" applyBorder="1"/>
    <xf numFmtId="165" fontId="29" fillId="0" borderId="0" xfId="1" applyNumberFormat="1" applyFont="1"/>
    <xf numFmtId="165" fontId="29" fillId="0" borderId="0" xfId="0" applyNumberFormat="1" applyFont="1"/>
    <xf numFmtId="44" fontId="30" fillId="0" borderId="0" xfId="1" applyFont="1" applyBorder="1" applyAlignment="1" applyProtection="1"/>
    <xf numFmtId="44" fontId="30" fillId="0" borderId="4" xfId="1" applyFont="1" applyBorder="1" applyAlignment="1" applyProtection="1"/>
    <xf numFmtId="44" fontId="30" fillId="7" borderId="0" xfId="1" applyFont="1" applyFill="1" applyBorder="1" applyAlignment="1" applyProtection="1"/>
    <xf numFmtId="44" fontId="30" fillId="7" borderId="4" xfId="1" applyFont="1" applyFill="1" applyBorder="1" applyAlignment="1" applyProtection="1"/>
    <xf numFmtId="0" fontId="30" fillId="0" borderId="0" xfId="2" applyFont="1" applyProtection="1">
      <protection locked="0"/>
    </xf>
    <xf numFmtId="44" fontId="30" fillId="0" borderId="0" xfId="1" applyFont="1" applyBorder="1" applyProtection="1">
      <protection locked="0"/>
    </xf>
    <xf numFmtId="44" fontId="30" fillId="0" borderId="4" xfId="1" applyFont="1" applyBorder="1" applyProtection="1">
      <protection locked="0"/>
    </xf>
    <xf numFmtId="0" fontId="30" fillId="7" borderId="0" xfId="2" applyFont="1" applyFill="1" applyProtection="1">
      <protection locked="0"/>
    </xf>
    <xf numFmtId="44" fontId="30" fillId="7" borderId="0" xfId="1" applyFont="1" applyFill="1" applyBorder="1" applyProtection="1">
      <protection locked="0"/>
    </xf>
    <xf numFmtId="44" fontId="30" fillId="7" borderId="4" xfId="1" applyFont="1" applyFill="1" applyBorder="1" applyProtection="1">
      <protection locked="0"/>
    </xf>
    <xf numFmtId="9" fontId="31" fillId="0" borderId="0" xfId="0" applyNumberFormat="1" applyFont="1" applyAlignment="1">
      <alignment horizontal="center"/>
    </xf>
    <xf numFmtId="8" fontId="29" fillId="0" borderId="0" xfId="0" applyNumberFormat="1" applyFont="1"/>
    <xf numFmtId="44" fontId="30" fillId="0" borderId="0" xfId="1" applyFont="1" applyFill="1" applyBorder="1" applyProtection="1">
      <protection locked="0"/>
    </xf>
    <xf numFmtId="0" fontId="29" fillId="3" borderId="0" xfId="0" applyFont="1" applyFill="1"/>
    <xf numFmtId="44" fontId="29" fillId="3" borderId="0" xfId="0" applyNumberFormat="1" applyFont="1" applyFill="1"/>
    <xf numFmtId="0" fontId="30" fillId="10" borderId="0" xfId="2" applyFont="1" applyFill="1" applyProtection="1">
      <protection locked="0"/>
    </xf>
    <xf numFmtId="0" fontId="22" fillId="3" borderId="0" xfId="2" applyFont="1" applyFill="1" applyAlignment="1">
      <alignment horizontal="center" vertical="center"/>
    </xf>
    <xf numFmtId="164" fontId="30" fillId="0" borderId="0" xfId="3" applyFont="1" applyFill="1" applyBorder="1" applyAlignment="1">
      <alignment horizontal="center"/>
    </xf>
    <xf numFmtId="164" fontId="30" fillId="0" borderId="2" xfId="3" applyFont="1" applyFill="1" applyBorder="1" applyAlignment="1">
      <alignment horizontal="center"/>
    </xf>
    <xf numFmtId="0" fontId="22" fillId="3" borderId="0" xfId="2" applyFont="1" applyFill="1" applyAlignment="1">
      <alignment horizontal="left" vertical="center"/>
    </xf>
    <xf numFmtId="164" fontId="34" fillId="0" borderId="2" xfId="3" applyFont="1" applyFill="1" applyBorder="1" applyAlignment="1">
      <alignment horizontal="center"/>
    </xf>
    <xf numFmtId="0" fontId="22" fillId="4" borderId="0" xfId="2" applyFont="1" applyFill="1" applyAlignment="1">
      <alignment horizontal="left" vertical="center"/>
    </xf>
    <xf numFmtId="166" fontId="30" fillId="0" borderId="0" xfId="3" applyNumberFormat="1" applyFont="1" applyFill="1" applyBorder="1" applyAlignment="1">
      <alignment horizontal="center"/>
    </xf>
    <xf numFmtId="166" fontId="30" fillId="0" borderId="2" xfId="3" applyNumberFormat="1" applyFont="1" applyFill="1" applyBorder="1" applyAlignment="1">
      <alignment horizontal="center"/>
    </xf>
    <xf numFmtId="0" fontId="22" fillId="0" borderId="0" xfId="2" applyFont="1" applyAlignment="1">
      <alignment horizontal="center" vertical="center"/>
    </xf>
    <xf numFmtId="0" fontId="22" fillId="10" borderId="0" xfId="2" applyFont="1" applyFill="1" applyAlignment="1">
      <alignment horizontal="center"/>
    </xf>
    <xf numFmtId="44" fontId="34" fillId="0" borderId="0" xfId="1" applyFont="1" applyFill="1" applyBorder="1"/>
    <xf numFmtId="164" fontId="34" fillId="0" borderId="0" xfId="3" applyFont="1" applyFill="1" applyBorder="1" applyAlignment="1">
      <alignment horizontal="center"/>
    </xf>
    <xf numFmtId="164" fontId="30" fillId="10" borderId="0" xfId="3" applyFont="1" applyFill="1" applyBorder="1" applyAlignment="1">
      <alignment horizontal="center"/>
    </xf>
    <xf numFmtId="164" fontId="30" fillId="3" borderId="0" xfId="3" applyFont="1" applyFill="1" applyBorder="1" applyAlignment="1">
      <alignment horizontal="center"/>
    </xf>
    <xf numFmtId="9" fontId="30" fillId="0" borderId="0" xfId="2" applyNumberFormat="1" applyFont="1"/>
    <xf numFmtId="43" fontId="30" fillId="0" borderId="0" xfId="2" applyNumberFormat="1" applyFont="1" applyAlignment="1">
      <alignment horizontal="left" vertical="center"/>
    </xf>
    <xf numFmtId="0" fontId="22" fillId="10" borderId="0" xfId="2" applyFont="1" applyFill="1" applyAlignment="1">
      <alignment horizontal="center" vertical="center" wrapText="1"/>
    </xf>
    <xf numFmtId="0" fontId="30" fillId="10" borderId="0" xfId="2" applyFont="1" applyFill="1"/>
    <xf numFmtId="164" fontId="35" fillId="0" borderId="0" xfId="3" applyFont="1" applyFill="1" applyBorder="1" applyAlignment="1">
      <alignment horizontal="center"/>
    </xf>
    <xf numFmtId="0" fontId="14" fillId="4" borderId="0" xfId="2" applyFont="1" applyFill="1"/>
    <xf numFmtId="0" fontId="14" fillId="10" borderId="0" xfId="2" applyFont="1" applyFill="1"/>
    <xf numFmtId="0" fontId="17" fillId="5" borderId="0" xfId="2" applyFont="1" applyFill="1"/>
    <xf numFmtId="0" fontId="28" fillId="5" borderId="0" xfId="2" applyFont="1" applyFill="1"/>
    <xf numFmtId="44" fontId="28" fillId="5" borderId="0" xfId="1" applyFont="1" applyFill="1" applyBorder="1" applyProtection="1"/>
    <xf numFmtId="0" fontId="33" fillId="5" borderId="0" xfId="2" applyFont="1" applyFill="1"/>
    <xf numFmtId="0" fontId="36" fillId="5" borderId="0" xfId="2" applyFont="1" applyFill="1" applyAlignment="1">
      <alignment horizontal="left"/>
    </xf>
    <xf numFmtId="0" fontId="33" fillId="5" borderId="0" xfId="2" applyFont="1" applyFill="1" applyProtection="1">
      <protection locked="0"/>
    </xf>
    <xf numFmtId="0" fontId="33" fillId="5" borderId="0" xfId="0" applyFont="1" applyFill="1"/>
    <xf numFmtId="0" fontId="23" fillId="0" borderId="0" xfId="2" applyFont="1" applyProtection="1">
      <protection locked="0"/>
    </xf>
    <xf numFmtId="9" fontId="6" fillId="10" borderId="0" xfId="1" applyNumberFormat="1" applyFont="1" applyFill="1" applyBorder="1" applyProtection="1"/>
    <xf numFmtId="9" fontId="7" fillId="0" borderId="0" xfId="2" applyNumberFormat="1" applyFont="1"/>
    <xf numFmtId="0" fontId="13" fillId="5" borderId="10" xfId="0" applyFont="1" applyFill="1" applyBorder="1" applyAlignment="1">
      <alignment horizontal="center" vertical="center"/>
    </xf>
    <xf numFmtId="44" fontId="13" fillId="5" borderId="11" xfId="1" applyFont="1" applyFill="1" applyBorder="1" applyAlignment="1" applyProtection="1">
      <alignment horizontal="center"/>
    </xf>
    <xf numFmtId="44" fontId="13" fillId="5" borderId="10" xfId="1" applyFont="1" applyFill="1" applyBorder="1" applyAlignment="1" applyProtection="1">
      <alignment horizontal="center"/>
    </xf>
    <xf numFmtId="0" fontId="13" fillId="5" borderId="11" xfId="4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 vertical="center"/>
    </xf>
    <xf numFmtId="44" fontId="6" fillId="12" borderId="12" xfId="1" applyFont="1" applyFill="1" applyBorder="1" applyAlignment="1" applyProtection="1">
      <alignment horizontal="center"/>
    </xf>
    <xf numFmtId="9" fontId="6" fillId="12" borderId="12" xfId="1" applyNumberFormat="1" applyFont="1" applyFill="1" applyBorder="1" applyAlignment="1" applyProtection="1">
      <alignment horizontal="center"/>
    </xf>
    <xf numFmtId="0" fontId="6" fillId="12" borderId="10" xfId="4" applyFont="1" applyFill="1" applyBorder="1" applyAlignment="1">
      <alignment horizontal="center"/>
    </xf>
    <xf numFmtId="0" fontId="6" fillId="12" borderId="12" xfId="4" applyFont="1" applyFill="1" applyBorder="1" applyAlignment="1">
      <alignment horizontal="center"/>
    </xf>
    <xf numFmtId="0" fontId="6" fillId="12" borderId="11" xfId="4" applyFont="1" applyFill="1" applyBorder="1" applyAlignment="1">
      <alignment horizontal="center"/>
    </xf>
    <xf numFmtId="9" fontId="22" fillId="12" borderId="12" xfId="1" applyNumberFormat="1" applyFont="1" applyFill="1" applyBorder="1" applyAlignment="1" applyProtection="1">
      <alignment horizontal="center"/>
    </xf>
    <xf numFmtId="0" fontId="38" fillId="7" borderId="10" xfId="0" applyFont="1" applyFill="1" applyBorder="1" applyAlignment="1">
      <alignment horizontal="center" vertical="center"/>
    </xf>
    <xf numFmtId="44" fontId="38" fillId="12" borderId="11" xfId="1" applyFont="1" applyFill="1" applyBorder="1" applyAlignment="1" applyProtection="1">
      <alignment horizontal="center"/>
    </xf>
    <xf numFmtId="44" fontId="38" fillId="12" borderId="12" xfId="1" applyFont="1" applyFill="1" applyBorder="1" applyAlignment="1" applyProtection="1">
      <alignment horizontal="center"/>
    </xf>
    <xf numFmtId="9" fontId="38" fillId="12" borderId="12" xfId="1" applyNumberFormat="1" applyFont="1" applyFill="1" applyBorder="1" applyAlignment="1" applyProtection="1">
      <alignment horizontal="center"/>
    </xf>
    <xf numFmtId="0" fontId="38" fillId="12" borderId="10" xfId="4" applyFont="1" applyFill="1" applyBorder="1" applyAlignment="1">
      <alignment horizontal="center"/>
    </xf>
    <xf numFmtId="0" fontId="38" fillId="12" borderId="12" xfId="4" applyFont="1" applyFill="1" applyBorder="1" applyAlignment="1">
      <alignment horizontal="center"/>
    </xf>
    <xf numFmtId="0" fontId="38" fillId="12" borderId="11" xfId="4" applyFont="1" applyFill="1" applyBorder="1" applyAlignment="1">
      <alignment horizontal="center"/>
    </xf>
    <xf numFmtId="0" fontId="10" fillId="12" borderId="10" xfId="4" applyFont="1" applyFill="1" applyBorder="1" applyAlignment="1">
      <alignment horizontal="left"/>
    </xf>
    <xf numFmtId="0" fontId="10" fillId="12" borderId="13" xfId="4" applyFont="1" applyFill="1" applyBorder="1" applyAlignment="1">
      <alignment horizontal="left"/>
    </xf>
    <xf numFmtId="0" fontId="6" fillId="10" borderId="10" xfId="0" applyFont="1" applyFill="1" applyBorder="1" applyAlignment="1">
      <alignment horizontal="center" vertical="center"/>
    </xf>
    <xf numFmtId="3" fontId="12" fillId="0" borderId="0" xfId="2" applyNumberFormat="1" applyFont="1" applyProtection="1">
      <protection locked="0"/>
    </xf>
    <xf numFmtId="44" fontId="33" fillId="10" borderId="0" xfId="1" applyFont="1" applyFill="1" applyBorder="1"/>
    <xf numFmtId="44" fontId="0" fillId="0" borderId="0" xfId="0" applyNumberFormat="1"/>
    <xf numFmtId="0" fontId="22" fillId="3" borderId="6" xfId="2" applyFont="1" applyFill="1" applyBorder="1" applyAlignment="1">
      <alignment horizontal="center" vertical="center"/>
    </xf>
    <xf numFmtId="0" fontId="28" fillId="3" borderId="7" xfId="2" applyFont="1" applyFill="1" applyBorder="1" applyAlignment="1">
      <alignment horizontal="center" vertical="center"/>
    </xf>
    <xf numFmtId="0" fontId="28" fillId="3" borderId="1" xfId="2" applyFont="1" applyFill="1" applyBorder="1" applyAlignment="1">
      <alignment horizontal="center" vertical="center"/>
    </xf>
    <xf numFmtId="0" fontId="31" fillId="3" borderId="7" xfId="2" applyFont="1" applyFill="1" applyBorder="1" applyAlignment="1">
      <alignment horizontal="center" vertical="center"/>
    </xf>
    <xf numFmtId="9" fontId="0" fillId="0" borderId="0" xfId="0" applyNumberFormat="1"/>
    <xf numFmtId="165" fontId="29" fillId="0" borderId="5" xfId="1" applyNumberFormat="1" applyFont="1" applyBorder="1"/>
    <xf numFmtId="0" fontId="0" fillId="0" borderId="4" xfId="0" applyBorder="1"/>
    <xf numFmtId="165" fontId="29" fillId="0" borderId="4" xfId="0" applyNumberFormat="1" applyFont="1" applyBorder="1"/>
    <xf numFmtId="10" fontId="29" fillId="0" borderId="0" xfId="0" applyNumberFormat="1" applyFont="1"/>
    <xf numFmtId="9" fontId="29" fillId="0" borderId="0" xfId="0" applyNumberFormat="1" applyFont="1"/>
    <xf numFmtId="44" fontId="0" fillId="0" borderId="0" xfId="1" applyFont="1"/>
    <xf numFmtId="0" fontId="22" fillId="3" borderId="2" xfId="2" applyFont="1" applyFill="1" applyBorder="1" applyAlignment="1">
      <alignment horizontal="center" vertical="center" wrapText="1"/>
    </xf>
    <xf numFmtId="44" fontId="22" fillId="3" borderId="0" xfId="1" applyFont="1" applyFill="1" applyBorder="1" applyAlignment="1">
      <alignment horizontal="left" vertical="center"/>
    </xf>
    <xf numFmtId="49" fontId="22" fillId="0" borderId="0" xfId="3" applyNumberFormat="1" applyFont="1" applyFill="1" applyBorder="1" applyAlignment="1">
      <alignment horizontal="center"/>
    </xf>
    <xf numFmtId="49" fontId="30" fillId="0" borderId="2" xfId="3" applyNumberFormat="1" applyFont="1" applyFill="1" applyBorder="1" applyAlignment="1">
      <alignment horizontal="center"/>
    </xf>
    <xf numFmtId="44" fontId="22" fillId="0" borderId="2" xfId="1" applyFont="1" applyFill="1" applyBorder="1" applyAlignment="1">
      <alignment horizontal="center"/>
    </xf>
    <xf numFmtId="0" fontId="5" fillId="0" borderId="0" xfId="4"/>
    <xf numFmtId="0" fontId="8" fillId="6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9" fillId="5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5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31" fillId="6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9" fillId="5" borderId="0" xfId="2" applyFont="1" applyFill="1" applyAlignment="1">
      <alignment horizontal="center"/>
    </xf>
    <xf numFmtId="0" fontId="19" fillId="2" borderId="0" xfId="2" applyFont="1" applyFill="1" applyAlignment="1">
      <alignment horizontal="center"/>
    </xf>
    <xf numFmtId="0" fontId="30" fillId="0" borderId="0" xfId="2" applyFont="1" applyAlignment="1">
      <alignment horizontal="center"/>
    </xf>
    <xf numFmtId="0" fontId="18" fillId="10" borderId="0" xfId="2" applyFont="1" applyFill="1" applyAlignment="1">
      <alignment horizontal="center"/>
    </xf>
    <xf numFmtId="0" fontId="22" fillId="10" borderId="0" xfId="2" applyFont="1" applyFill="1" applyAlignment="1">
      <alignment horizontal="left"/>
    </xf>
    <xf numFmtId="0" fontId="6" fillId="10" borderId="0" xfId="2" applyFont="1" applyFill="1" applyAlignment="1">
      <alignment horizontal="left"/>
    </xf>
    <xf numFmtId="0" fontId="10" fillId="12" borderId="10" xfId="4" applyFont="1" applyFill="1" applyBorder="1" applyAlignment="1">
      <alignment horizontal="left"/>
    </xf>
    <xf numFmtId="0" fontId="10" fillId="12" borderId="13" xfId="4" applyFont="1" applyFill="1" applyBorder="1" applyAlignment="1">
      <alignment horizontal="left"/>
    </xf>
    <xf numFmtId="0" fontId="13" fillId="5" borderId="11" xfId="4" applyFont="1" applyFill="1" applyBorder="1" applyAlignment="1">
      <alignment horizontal="center"/>
    </xf>
    <xf numFmtId="0" fontId="37" fillId="4" borderId="0" xfId="2" applyFont="1" applyFill="1" applyAlignment="1" applyProtection="1">
      <alignment horizontal="center"/>
      <protection locked="0"/>
    </xf>
    <xf numFmtId="0" fontId="37" fillId="4" borderId="0" xfId="2" applyFont="1" applyFill="1" applyAlignment="1" applyProtection="1">
      <alignment horizontal="left"/>
      <protection locked="0"/>
    </xf>
  </cellXfs>
  <cellStyles count="5">
    <cellStyle name="Moeda" xfId="1" builtinId="4"/>
    <cellStyle name="Moeda 3" xfId="3" xr:uid="{00000000-0005-0000-0000-000002000000}"/>
    <cellStyle name="Normal" xfId="0" builtinId="0"/>
    <cellStyle name="Normal 2" xfId="4" xr:uid="{00000000-0005-0000-0000-000004000000}"/>
    <cellStyle name="Normal 3" xfId="2" xr:uid="{00000000-0005-0000-0000-000005000000}"/>
  </cellStyles>
  <dxfs count="0"/>
  <tableStyles count="0" defaultTableStyle="TableStyleMedium2" defaultPivotStyle="PivotStyleLight16"/>
  <colors>
    <mruColors>
      <color rgb="FF0000FF"/>
      <color rgb="FFFF9999"/>
      <color rgb="FFCC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0</xdr:rowOff>
    </xdr:from>
    <xdr:to>
      <xdr:col>9</xdr:col>
      <xdr:colOff>304800</xdr:colOff>
      <xdr:row>10</xdr:row>
      <xdr:rowOff>114300</xdr:rowOff>
    </xdr:to>
    <xdr:sp macro="" textlink="">
      <xdr:nvSpPr>
        <xdr:cNvPr id="15363" name="AutoShape 3" descr="blob:https://web.whatsapp.com/a030d67e-5b10-4494-8d82-66be21401b2c">
          <a:extLst>
            <a:ext uri="{FF2B5EF4-FFF2-40B4-BE49-F238E27FC236}">
              <a16:creationId xmlns:a16="http://schemas.microsoft.com/office/drawing/2014/main" id="{00000000-0008-0000-0300-0000033C0000}"/>
            </a:ext>
          </a:extLst>
        </xdr:cNvPr>
        <xdr:cNvSpPr>
          <a:spLocks noChangeAspect="1" noChangeArrowheads="1"/>
        </xdr:cNvSpPr>
      </xdr:nvSpPr>
      <xdr:spPr bwMode="auto">
        <a:xfrm>
          <a:off x="7848600" y="18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9</xdr:col>
      <xdr:colOff>0</xdr:colOff>
      <xdr:row>20</xdr:row>
      <xdr:rowOff>0</xdr:rowOff>
    </xdr:from>
    <xdr:ext cx="304800" cy="304800"/>
    <xdr:sp macro="" textlink="">
      <xdr:nvSpPr>
        <xdr:cNvPr id="4" name="AutoShape 3" descr="blob:https://web.whatsapp.com/a030d67e-5b10-4494-8d82-66be21401b2c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6238875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44</xdr:row>
      <xdr:rowOff>0</xdr:rowOff>
    </xdr:from>
    <xdr:to>
      <xdr:col>12</xdr:col>
      <xdr:colOff>304800</xdr:colOff>
      <xdr:row>45</xdr:row>
      <xdr:rowOff>114300</xdr:rowOff>
    </xdr:to>
    <xdr:sp macro="" textlink="">
      <xdr:nvSpPr>
        <xdr:cNvPr id="5129" name="AutoShape 9" descr="blob:https://web.whatsapp.com/2863f989-e157-44a8-8eb7-b570605b71aa">
          <a:extLst>
            <a:ext uri="{FF2B5EF4-FFF2-40B4-BE49-F238E27FC236}">
              <a16:creationId xmlns:a16="http://schemas.microsoft.com/office/drawing/2014/main" id="{00000000-0008-0000-0400-000009140000}"/>
            </a:ext>
          </a:extLst>
        </xdr:cNvPr>
        <xdr:cNvSpPr>
          <a:spLocks noChangeAspect="1" noChangeArrowheads="1"/>
        </xdr:cNvSpPr>
      </xdr:nvSpPr>
      <xdr:spPr bwMode="auto">
        <a:xfrm>
          <a:off x="6162675" y="84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847725</xdr:colOff>
      <xdr:row>53</xdr:row>
      <xdr:rowOff>161925</xdr:rowOff>
    </xdr:from>
    <xdr:to>
      <xdr:col>22</xdr:col>
      <xdr:colOff>161554</xdr:colOff>
      <xdr:row>68</xdr:row>
      <xdr:rowOff>113949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48875" y="10353675"/>
          <a:ext cx="2971429" cy="2809524"/>
        </a:xfrm>
        <a:prstGeom prst="rect">
          <a:avLst/>
        </a:prstGeom>
      </xdr:spPr>
    </xdr:pic>
    <xdr:clientData/>
  </xdr:twoCellAnchor>
  <xdr:twoCellAnchor editAs="oneCell">
    <xdr:from>
      <xdr:col>12</xdr:col>
      <xdr:colOff>1781175</xdr:colOff>
      <xdr:row>53</xdr:row>
      <xdr:rowOff>9525</xdr:rowOff>
    </xdr:from>
    <xdr:to>
      <xdr:col>15</xdr:col>
      <xdr:colOff>228300</xdr:colOff>
      <xdr:row>70</xdr:row>
      <xdr:rowOff>9120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0" y="10201275"/>
          <a:ext cx="2400000" cy="32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685800</xdr:colOff>
      <xdr:row>53</xdr:row>
      <xdr:rowOff>9525</xdr:rowOff>
    </xdr:from>
    <xdr:to>
      <xdr:col>12</xdr:col>
      <xdr:colOff>1771367</xdr:colOff>
      <xdr:row>67</xdr:row>
      <xdr:rowOff>75858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67375" y="10201275"/>
          <a:ext cx="2266667" cy="2733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21</xdr:row>
      <xdr:rowOff>0</xdr:rowOff>
    </xdr:from>
    <xdr:to>
      <xdr:col>13</xdr:col>
      <xdr:colOff>304800</xdr:colOff>
      <xdr:row>22</xdr:row>
      <xdr:rowOff>104775</xdr:rowOff>
    </xdr:to>
    <xdr:sp macro="" textlink="">
      <xdr:nvSpPr>
        <xdr:cNvPr id="14337" name="AutoShape 1" descr="blob:https://web.whatsapp.com/194413d4-80fe-4f57-a105-3d52b67c9157">
          <a:extLst>
            <a:ext uri="{FF2B5EF4-FFF2-40B4-BE49-F238E27FC236}">
              <a16:creationId xmlns:a16="http://schemas.microsoft.com/office/drawing/2014/main" id="{00000000-0008-0000-0800-000001380000}"/>
            </a:ext>
          </a:extLst>
        </xdr:cNvPr>
        <xdr:cNvSpPr>
          <a:spLocks noChangeAspect="1" noChangeArrowheads="1"/>
        </xdr:cNvSpPr>
      </xdr:nvSpPr>
      <xdr:spPr bwMode="auto">
        <a:xfrm>
          <a:off x="9553575" y="454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304800</xdr:colOff>
      <xdr:row>18</xdr:row>
      <xdr:rowOff>104775</xdr:rowOff>
    </xdr:to>
    <xdr:sp macro="" textlink="">
      <xdr:nvSpPr>
        <xdr:cNvPr id="14338" name="AutoShape 2" descr="blob:https://web.whatsapp.com/194413d4-80fe-4f57-a105-3d52b67c9157">
          <a:extLst>
            <a:ext uri="{FF2B5EF4-FFF2-40B4-BE49-F238E27FC236}">
              <a16:creationId xmlns:a16="http://schemas.microsoft.com/office/drawing/2014/main" id="{00000000-0008-0000-0800-000002380000}"/>
            </a:ext>
          </a:extLst>
        </xdr:cNvPr>
        <xdr:cNvSpPr>
          <a:spLocks noChangeAspect="1" noChangeArrowheads="1"/>
        </xdr:cNvSpPr>
      </xdr:nvSpPr>
      <xdr:spPr bwMode="auto">
        <a:xfrm>
          <a:off x="11144250" y="37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28575</xdr:rowOff>
    </xdr:from>
    <xdr:to>
      <xdr:col>6</xdr:col>
      <xdr:colOff>208982</xdr:colOff>
      <xdr:row>23</xdr:row>
      <xdr:rowOff>180731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800"/>
          <a:ext cx="4542857" cy="19523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304800</xdr:colOff>
      <xdr:row>25</xdr:row>
      <xdr:rowOff>104775</xdr:rowOff>
    </xdr:to>
    <xdr:sp macro="" textlink="">
      <xdr:nvSpPr>
        <xdr:cNvPr id="14339" name="AutoShape 3" descr="blob:https://web.whatsapp.com/d38e762d-d2c4-48bd-bafc-e52e1ed3ae02">
          <a:extLst>
            <a:ext uri="{FF2B5EF4-FFF2-40B4-BE49-F238E27FC236}">
              <a16:creationId xmlns:a16="http://schemas.microsoft.com/office/drawing/2014/main" id="{00000000-0008-0000-0800-000003380000}"/>
            </a:ext>
          </a:extLst>
        </xdr:cNvPr>
        <xdr:cNvSpPr>
          <a:spLocks noChangeAspect="1" noChangeArrowheads="1"/>
        </xdr:cNvSpPr>
      </xdr:nvSpPr>
      <xdr:spPr bwMode="auto">
        <a:xfrm>
          <a:off x="6848475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304800</xdr:colOff>
      <xdr:row>20</xdr:row>
      <xdr:rowOff>104775</xdr:rowOff>
    </xdr:to>
    <xdr:sp macro="" textlink="">
      <xdr:nvSpPr>
        <xdr:cNvPr id="14340" name="AutoShape 4" descr="blob:https://web.whatsapp.com/d38e762d-d2c4-48bd-bafc-e52e1ed3ae02">
          <a:extLst>
            <a:ext uri="{FF2B5EF4-FFF2-40B4-BE49-F238E27FC236}">
              <a16:creationId xmlns:a16="http://schemas.microsoft.com/office/drawing/2014/main" id="{00000000-0008-0000-0800-000004380000}"/>
            </a:ext>
          </a:extLst>
        </xdr:cNvPr>
        <xdr:cNvSpPr>
          <a:spLocks noChangeAspect="1" noChangeArrowheads="1"/>
        </xdr:cNvSpPr>
      </xdr:nvSpPr>
      <xdr:spPr bwMode="auto">
        <a:xfrm>
          <a:off x="6848475" y="39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47625</xdr:colOff>
      <xdr:row>34</xdr:row>
      <xdr:rowOff>9525</xdr:rowOff>
    </xdr:from>
    <xdr:to>
      <xdr:col>15</xdr:col>
      <xdr:colOff>246245</xdr:colOff>
      <xdr:row>48</xdr:row>
      <xdr:rowOff>161556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953250"/>
          <a:ext cx="11238095" cy="29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9"/>
  <sheetViews>
    <sheetView showGridLines="0" tabSelected="1" topLeftCell="A3" workbookViewId="0">
      <selection activeCell="I36" sqref="I36"/>
    </sheetView>
  </sheetViews>
  <sheetFormatPr defaultRowHeight="15" x14ac:dyDescent="0.25"/>
  <cols>
    <col min="1" max="1" width="2.7109375" customWidth="1"/>
    <col min="2" max="2" width="23.140625" customWidth="1"/>
    <col min="3" max="3" width="12" customWidth="1"/>
    <col min="4" max="4" width="2.7109375" customWidth="1"/>
    <col min="5" max="5" width="20.7109375" customWidth="1"/>
    <col min="6" max="6" width="10" customWidth="1"/>
    <col min="7" max="7" width="2.7109375" customWidth="1"/>
    <col min="8" max="8" width="20.7109375" customWidth="1"/>
    <col min="9" max="9" width="11.7109375" bestFit="1" customWidth="1"/>
    <col min="10" max="10" width="2.7109375" customWidth="1"/>
    <col min="11" max="11" width="20.7109375" customWidth="1"/>
    <col min="12" max="12" width="11.7109375" bestFit="1" customWidth="1"/>
    <col min="13" max="13" width="2.7109375" customWidth="1"/>
    <col min="14" max="14" width="29.7109375" bestFit="1" customWidth="1"/>
    <col min="15" max="15" width="10.5703125" bestFit="1" customWidth="1"/>
  </cols>
  <sheetData>
    <row r="2" spans="2:17" ht="21" x14ac:dyDescent="0.35">
      <c r="B2" s="214" t="s">
        <v>198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</row>
    <row r="4" spans="2:17" ht="24" customHeight="1" x14ac:dyDescent="0.3">
      <c r="B4" s="210" t="s">
        <v>25</v>
      </c>
      <c r="C4" s="210"/>
      <c r="E4" s="211" t="s">
        <v>26</v>
      </c>
      <c r="F4" s="211"/>
      <c r="H4" s="212" t="s">
        <v>27</v>
      </c>
      <c r="I4" s="212"/>
      <c r="K4" s="213" t="s">
        <v>28</v>
      </c>
      <c r="L4" s="213"/>
      <c r="N4" s="215" t="s">
        <v>204</v>
      </c>
      <c r="O4" s="215"/>
    </row>
    <row r="5" spans="2:17" ht="15.75" x14ac:dyDescent="0.25">
      <c r="E5" s="209"/>
    </row>
    <row r="6" spans="2:17" x14ac:dyDescent="0.25">
      <c r="B6" s="68" t="s">
        <v>4</v>
      </c>
      <c r="C6" s="69" t="s">
        <v>24</v>
      </c>
      <c r="D6" s="46"/>
      <c r="E6" s="68" t="s">
        <v>4</v>
      </c>
      <c r="F6" s="69" t="s">
        <v>5</v>
      </c>
      <c r="G6" s="46"/>
      <c r="H6" s="68" t="s">
        <v>4</v>
      </c>
      <c r="I6" s="69" t="s">
        <v>24</v>
      </c>
      <c r="J6" s="46"/>
      <c r="K6" s="68" t="s">
        <v>4</v>
      </c>
      <c r="L6" s="69" t="s">
        <v>24</v>
      </c>
      <c r="N6" s="68" t="s">
        <v>4</v>
      </c>
      <c r="O6" s="69" t="s">
        <v>24</v>
      </c>
    </row>
    <row r="7" spans="2:17" x14ac:dyDescent="0.25">
      <c r="B7" s="46" t="s">
        <v>0</v>
      </c>
      <c r="C7" s="70">
        <v>68</v>
      </c>
      <c r="D7" s="46"/>
      <c r="E7" s="46" t="s">
        <v>0</v>
      </c>
      <c r="F7" s="56">
        <v>73</v>
      </c>
      <c r="G7" s="46"/>
      <c r="H7" s="46" t="s">
        <v>0</v>
      </c>
      <c r="I7" s="56">
        <v>83</v>
      </c>
      <c r="J7" s="46"/>
      <c r="K7" s="46" t="s">
        <v>0</v>
      </c>
      <c r="L7" s="56">
        <v>45</v>
      </c>
      <c r="N7" s="46" t="s">
        <v>0</v>
      </c>
      <c r="O7" s="70">
        <f>5+68</f>
        <v>73</v>
      </c>
    </row>
    <row r="8" spans="2:17" x14ac:dyDescent="0.25">
      <c r="B8" s="46" t="s">
        <v>1</v>
      </c>
      <c r="C8" s="70">
        <v>40</v>
      </c>
      <c r="D8" s="46"/>
      <c r="E8" s="46" t="s">
        <v>166</v>
      </c>
      <c r="F8" s="56">
        <v>45</v>
      </c>
      <c r="G8" s="46"/>
      <c r="H8" s="46" t="s">
        <v>166</v>
      </c>
      <c r="I8" s="56">
        <v>55</v>
      </c>
      <c r="J8" s="46"/>
      <c r="K8" s="46" t="s">
        <v>1</v>
      </c>
      <c r="L8" s="56">
        <v>40</v>
      </c>
      <c r="N8" s="46" t="s">
        <v>1</v>
      </c>
      <c r="O8" s="70">
        <v>40</v>
      </c>
    </row>
    <row r="9" spans="2:17" x14ac:dyDescent="0.25">
      <c r="B9" s="46" t="s">
        <v>2</v>
      </c>
      <c r="C9" s="70">
        <v>32</v>
      </c>
      <c r="D9" s="46"/>
      <c r="E9" s="46" t="s">
        <v>2</v>
      </c>
      <c r="F9" s="56">
        <v>32</v>
      </c>
      <c r="G9" s="46"/>
      <c r="H9" s="46" t="s">
        <v>2</v>
      </c>
      <c r="I9" s="56">
        <v>32</v>
      </c>
      <c r="J9" s="46"/>
      <c r="K9" s="46" t="s">
        <v>6</v>
      </c>
      <c r="L9" s="56">
        <v>20</v>
      </c>
      <c r="N9" s="46" t="s">
        <v>6</v>
      </c>
      <c r="O9" s="70">
        <v>20</v>
      </c>
    </row>
    <row r="10" spans="2:17" x14ac:dyDescent="0.25"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N10" s="46" t="s">
        <v>206</v>
      </c>
      <c r="O10" s="56">
        <v>27</v>
      </c>
    </row>
    <row r="11" spans="2:17" x14ac:dyDescent="0.25">
      <c r="B11" s="71" t="s">
        <v>3</v>
      </c>
      <c r="C11" s="72">
        <f>C7+C8+C9</f>
        <v>140</v>
      </c>
      <c r="D11" s="73"/>
      <c r="E11" s="71" t="s">
        <v>3</v>
      </c>
      <c r="F11" s="72">
        <f>F7+F8+F9</f>
        <v>150</v>
      </c>
      <c r="G11" s="73"/>
      <c r="H11" s="71" t="s">
        <v>3</v>
      </c>
      <c r="I11" s="72">
        <f>I7+I8+I9</f>
        <v>170</v>
      </c>
      <c r="J11" s="73"/>
      <c r="K11" s="71" t="s">
        <v>3</v>
      </c>
      <c r="L11" s="72">
        <f>L7+L8+L9</f>
        <v>105</v>
      </c>
      <c r="N11" s="71" t="s">
        <v>3</v>
      </c>
      <c r="O11" s="72">
        <f>SUM(O7:O10)</f>
        <v>160</v>
      </c>
    </row>
    <row r="12" spans="2:17" x14ac:dyDescent="0.2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N12" s="86" t="s">
        <v>207</v>
      </c>
      <c r="O12" s="87">
        <f>+O11*0.75</f>
        <v>120</v>
      </c>
    </row>
    <row r="13" spans="2:17" x14ac:dyDescent="0.25">
      <c r="B13" s="46"/>
      <c r="C13" s="46"/>
      <c r="D13" s="46"/>
      <c r="E13" s="46"/>
      <c r="F13" s="46"/>
      <c r="G13" s="46"/>
      <c r="H13" s="46"/>
      <c r="I13" s="46"/>
      <c r="J13" s="46"/>
      <c r="K13" s="46" t="s">
        <v>201</v>
      </c>
      <c r="L13" s="46"/>
      <c r="N13" s="46"/>
      <c r="O13" s="46"/>
    </row>
    <row r="14" spans="2:17" x14ac:dyDescent="0.25">
      <c r="B14" s="46"/>
      <c r="C14" s="46"/>
      <c r="D14" s="46"/>
      <c r="E14" s="46"/>
      <c r="F14" s="46"/>
      <c r="G14" s="46"/>
      <c r="H14" s="46"/>
      <c r="I14" s="46"/>
      <c r="J14" s="46"/>
      <c r="K14" s="46" t="s">
        <v>29</v>
      </c>
      <c r="L14" s="46"/>
      <c r="N14" s="89" t="s">
        <v>205</v>
      </c>
      <c r="O14" s="165"/>
      <c r="P14" s="88"/>
      <c r="Q14" s="88"/>
    </row>
    <row r="15" spans="2:17" ht="15.75" thickBot="1" x14ac:dyDescent="0.3">
      <c r="B15" s="74" t="s">
        <v>8</v>
      </c>
      <c r="C15" s="74" t="s">
        <v>24</v>
      </c>
      <c r="D15" s="46"/>
      <c r="E15" s="75" t="s">
        <v>17</v>
      </c>
      <c r="F15" s="74" t="s">
        <v>24</v>
      </c>
      <c r="G15" s="46"/>
      <c r="H15" s="75" t="s">
        <v>36</v>
      </c>
      <c r="I15" s="74" t="s">
        <v>24</v>
      </c>
      <c r="J15" s="46"/>
      <c r="K15" s="46"/>
      <c r="L15" s="46"/>
      <c r="N15" s="88" t="s">
        <v>214</v>
      </c>
      <c r="O15" s="88"/>
      <c r="P15" s="88"/>
      <c r="Q15" s="88"/>
    </row>
    <row r="16" spans="2:17" x14ac:dyDescent="0.25">
      <c r="B16" s="76" t="s">
        <v>7</v>
      </c>
      <c r="C16" s="77">
        <v>22</v>
      </c>
      <c r="D16" s="46"/>
      <c r="E16" s="46" t="s">
        <v>11</v>
      </c>
      <c r="F16" s="56">
        <v>18</v>
      </c>
      <c r="G16" s="46"/>
      <c r="H16" s="46" t="s">
        <v>30</v>
      </c>
      <c r="I16" s="77">
        <v>110</v>
      </c>
      <c r="J16" s="46"/>
      <c r="K16" s="46"/>
      <c r="L16" s="46"/>
    </row>
    <row r="17" spans="2:12" x14ac:dyDescent="0.25">
      <c r="B17" s="76" t="s">
        <v>18</v>
      </c>
      <c r="C17" s="77">
        <v>37</v>
      </c>
      <c r="D17" s="46"/>
      <c r="E17" s="46" t="s">
        <v>10</v>
      </c>
      <c r="F17" s="56">
        <v>20</v>
      </c>
      <c r="G17" s="46"/>
      <c r="H17" s="46" t="s">
        <v>31</v>
      </c>
      <c r="I17" s="77">
        <v>130</v>
      </c>
      <c r="J17" s="46"/>
      <c r="K17" s="46"/>
      <c r="L17" s="46"/>
    </row>
    <row r="18" spans="2:12" x14ac:dyDescent="0.25">
      <c r="B18" s="76" t="s">
        <v>19</v>
      </c>
      <c r="C18" s="77">
        <v>43</v>
      </c>
      <c r="D18" s="46"/>
      <c r="E18" s="46" t="s">
        <v>12</v>
      </c>
      <c r="F18" s="56">
        <v>5</v>
      </c>
      <c r="G18" s="46"/>
      <c r="H18" s="46" t="s">
        <v>32</v>
      </c>
      <c r="I18" s="77">
        <v>120</v>
      </c>
      <c r="J18" s="46"/>
      <c r="K18" s="46"/>
      <c r="L18" s="46"/>
    </row>
    <row r="19" spans="2:12" x14ac:dyDescent="0.25">
      <c r="B19" s="76" t="s">
        <v>20</v>
      </c>
      <c r="C19" s="77">
        <v>58</v>
      </c>
      <c r="D19" s="46"/>
      <c r="E19" s="46" t="s">
        <v>13</v>
      </c>
      <c r="F19" s="56">
        <v>10</v>
      </c>
      <c r="G19" s="46"/>
      <c r="H19" s="46" t="s">
        <v>33</v>
      </c>
      <c r="I19" s="77">
        <v>140</v>
      </c>
      <c r="J19" s="46"/>
      <c r="K19" s="46"/>
      <c r="L19" s="46"/>
    </row>
    <row r="20" spans="2:12" x14ac:dyDescent="0.25">
      <c r="B20" s="76" t="s">
        <v>21</v>
      </c>
      <c r="C20" s="77">
        <v>65</v>
      </c>
      <c r="D20" s="46"/>
      <c r="E20" s="46" t="s">
        <v>15</v>
      </c>
      <c r="F20" s="56">
        <v>130</v>
      </c>
      <c r="G20" s="46"/>
      <c r="H20" s="46" t="s">
        <v>34</v>
      </c>
      <c r="I20" s="77">
        <v>140</v>
      </c>
      <c r="J20" s="46"/>
      <c r="K20" s="46"/>
      <c r="L20" s="46"/>
    </row>
    <row r="21" spans="2:12" x14ac:dyDescent="0.25">
      <c r="B21" s="76" t="s">
        <v>22</v>
      </c>
      <c r="C21" s="77">
        <v>73</v>
      </c>
      <c r="D21" s="46"/>
      <c r="E21" s="46" t="s">
        <v>16</v>
      </c>
      <c r="F21" s="56">
        <v>150</v>
      </c>
      <c r="G21" s="46"/>
      <c r="H21" s="46" t="s">
        <v>35</v>
      </c>
      <c r="I21" s="77">
        <v>160</v>
      </c>
      <c r="J21" s="46"/>
      <c r="K21" s="46"/>
      <c r="L21" s="46"/>
    </row>
    <row r="22" spans="2:12" x14ac:dyDescent="0.25">
      <c r="B22" s="76" t="s">
        <v>23</v>
      </c>
      <c r="C22" s="77">
        <v>55</v>
      </c>
      <c r="D22" s="46"/>
      <c r="E22" s="46" t="s">
        <v>14</v>
      </c>
      <c r="F22" s="56">
        <v>-2</v>
      </c>
      <c r="G22" s="46"/>
      <c r="H22" s="46"/>
      <c r="I22" s="46"/>
      <c r="J22" s="46"/>
      <c r="K22" s="46"/>
      <c r="L22" s="46"/>
    </row>
    <row r="23" spans="2:12" x14ac:dyDescent="0.25">
      <c r="B23" s="76" t="s">
        <v>9</v>
      </c>
      <c r="C23" s="77">
        <v>75</v>
      </c>
      <c r="D23" s="46"/>
      <c r="E23" s="46"/>
      <c r="F23" s="46"/>
      <c r="G23" s="46"/>
      <c r="H23" s="46"/>
      <c r="I23" s="46"/>
      <c r="J23" s="46"/>
      <c r="K23" s="46"/>
      <c r="L23" s="46"/>
    </row>
    <row r="24" spans="2:12" x14ac:dyDescent="0.25">
      <c r="B24" s="76"/>
      <c r="C24" s="77"/>
      <c r="D24" s="46"/>
      <c r="E24" s="46"/>
      <c r="F24" s="46"/>
      <c r="G24" s="46"/>
      <c r="H24" s="46"/>
      <c r="I24" s="46"/>
      <c r="J24" s="46"/>
      <c r="K24" s="46"/>
      <c r="L24" s="46"/>
    </row>
    <row r="25" spans="2:12" x14ac:dyDescent="0.25">
      <c r="B25" s="76"/>
      <c r="C25" s="77"/>
      <c r="D25" s="46"/>
      <c r="E25" s="46"/>
      <c r="F25" s="46"/>
      <c r="G25" s="46"/>
      <c r="H25" s="46"/>
      <c r="I25" s="46"/>
      <c r="J25" s="46"/>
      <c r="K25" s="46"/>
      <c r="L25" s="46"/>
    </row>
    <row r="26" spans="2:12" x14ac:dyDescent="0.25"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2:12" x14ac:dyDescent="0.25"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spans="2:12" x14ac:dyDescent="0.25"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spans="2:12" x14ac:dyDescent="0.25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12" x14ac:dyDescent="0.25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2:12" x14ac:dyDescent="0.25">
      <c r="B31" s="84" t="s">
        <v>345</v>
      </c>
      <c r="C31" s="84"/>
      <c r="D31" s="46"/>
      <c r="E31" s="46"/>
      <c r="F31" s="46"/>
      <c r="G31" s="46"/>
      <c r="H31" s="46"/>
      <c r="I31" s="46"/>
      <c r="J31" s="46"/>
      <c r="K31" s="46"/>
      <c r="L31" s="46"/>
    </row>
    <row r="32" spans="2:12" x14ac:dyDescent="0.25"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8" spans="6:6" ht="15.75" x14ac:dyDescent="0.25">
      <c r="F38" s="209"/>
    </row>
    <row r="39" spans="6:6" ht="15.75" x14ac:dyDescent="0.25">
      <c r="F39" s="209"/>
    </row>
  </sheetData>
  <mergeCells count="6">
    <mergeCell ref="B4:C4"/>
    <mergeCell ref="E4:F4"/>
    <mergeCell ref="H4:I4"/>
    <mergeCell ref="K4:L4"/>
    <mergeCell ref="B2:O2"/>
    <mergeCell ref="N4:O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8"/>
  <sheetViews>
    <sheetView showGridLines="0" workbookViewId="0">
      <selection activeCell="J24" sqref="J24"/>
    </sheetView>
  </sheetViews>
  <sheetFormatPr defaultRowHeight="15" x14ac:dyDescent="0.25"/>
  <cols>
    <col min="1" max="1" width="2.7109375" customWidth="1"/>
    <col min="2" max="2" width="10.5703125" bestFit="1" customWidth="1"/>
    <col min="3" max="3" width="10.42578125" customWidth="1"/>
    <col min="4" max="6" width="9.5703125" bestFit="1" customWidth="1"/>
    <col min="9" max="12" width="9.5703125" bestFit="1" customWidth="1"/>
    <col min="17" max="17" width="9.5703125" bestFit="1" customWidth="1"/>
  </cols>
  <sheetData>
    <row r="2" spans="2:17" ht="21" x14ac:dyDescent="0.35">
      <c r="B2" s="214" t="s">
        <v>197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2:17" ht="17.25" customHeight="1" x14ac:dyDescent="0.35">
      <c r="C3" s="44"/>
      <c r="D3" s="44"/>
      <c r="E3" s="44"/>
      <c r="F3" s="44"/>
    </row>
    <row r="4" spans="2:17" ht="15.75" thickBot="1" x14ac:dyDescent="0.3">
      <c r="B4" s="46"/>
      <c r="C4" s="216" t="s">
        <v>182</v>
      </c>
      <c r="D4" s="216"/>
      <c r="E4" s="216"/>
      <c r="F4" s="79"/>
      <c r="G4" s="46"/>
      <c r="H4" s="46"/>
      <c r="I4" s="217" t="s">
        <v>183</v>
      </c>
      <c r="J4" s="217"/>
      <c r="K4" s="217"/>
      <c r="L4" s="79"/>
    </row>
    <row r="5" spans="2:17" ht="15.75" thickBot="1" x14ac:dyDescent="0.3">
      <c r="B5" s="46"/>
      <c r="C5" s="57" t="s">
        <v>44</v>
      </c>
      <c r="D5" s="57" t="s">
        <v>45</v>
      </c>
      <c r="E5" s="58" t="s">
        <v>46</v>
      </c>
      <c r="F5" s="79"/>
      <c r="G5" s="46"/>
      <c r="H5" s="80">
        <v>0.1</v>
      </c>
      <c r="I5" s="57" t="s">
        <v>44</v>
      </c>
      <c r="J5" s="57" t="s">
        <v>45</v>
      </c>
      <c r="K5" s="58" t="s">
        <v>46</v>
      </c>
      <c r="L5" s="79"/>
    </row>
    <row r="6" spans="2:17" x14ac:dyDescent="0.25">
      <c r="B6" s="50" t="s">
        <v>184</v>
      </c>
      <c r="C6" s="54">
        <f>C7+2.5</f>
        <v>33.849999999999994</v>
      </c>
      <c r="D6" s="54">
        <f>D7+2.5</f>
        <v>37.85</v>
      </c>
      <c r="E6" s="59">
        <f>D6+5</f>
        <v>42.85</v>
      </c>
      <c r="F6" s="59"/>
      <c r="G6" s="46"/>
      <c r="H6" s="61" t="s">
        <v>184</v>
      </c>
      <c r="I6" s="54">
        <f>C6*$H$5+C6</f>
        <v>37.234999999999992</v>
      </c>
      <c r="J6" s="54">
        <f>D6*$H$5+D6</f>
        <v>41.635000000000005</v>
      </c>
      <c r="K6" s="59">
        <f>E6*$H$5+E6</f>
        <v>47.135000000000005</v>
      </c>
      <c r="L6" s="81"/>
    </row>
    <row r="7" spans="2:17" x14ac:dyDescent="0.25">
      <c r="B7" s="50" t="s">
        <v>185</v>
      </c>
      <c r="C7" s="54">
        <f>C8+1.5</f>
        <v>31.349999999999998</v>
      </c>
      <c r="D7" s="54">
        <f>D8+1.5</f>
        <v>35.35</v>
      </c>
      <c r="E7" s="59">
        <f>D7+5</f>
        <v>40.35</v>
      </c>
      <c r="F7" s="59"/>
      <c r="G7" s="46"/>
      <c r="H7" s="61" t="s">
        <v>185</v>
      </c>
      <c r="I7" s="54">
        <f t="shared" ref="I7:J10" si="0">C7*$H$5+C7</f>
        <v>34.484999999999999</v>
      </c>
      <c r="J7" s="54">
        <f t="shared" si="0"/>
        <v>38.885000000000005</v>
      </c>
      <c r="K7" s="59">
        <f>E7*$H$5+E7</f>
        <v>44.385000000000005</v>
      </c>
      <c r="L7" s="59"/>
    </row>
    <row r="8" spans="2:17" x14ac:dyDescent="0.25">
      <c r="B8" s="50" t="s">
        <v>186</v>
      </c>
      <c r="C8" s="54">
        <f>C9+1</f>
        <v>29.849999999999998</v>
      </c>
      <c r="D8" s="54">
        <f>D9+1</f>
        <v>33.85</v>
      </c>
      <c r="E8" s="59">
        <f>D8+5</f>
        <v>38.85</v>
      </c>
      <c r="F8" s="59"/>
      <c r="G8" s="46"/>
      <c r="H8" s="61" t="s">
        <v>186</v>
      </c>
      <c r="I8" s="54">
        <f t="shared" si="0"/>
        <v>32.835000000000001</v>
      </c>
      <c r="J8" s="54">
        <f t="shared" si="0"/>
        <v>37.234999999999999</v>
      </c>
      <c r="K8" s="59">
        <f>E8*$H$5+E8</f>
        <v>42.734999999999999</v>
      </c>
      <c r="L8" s="59"/>
    </row>
    <row r="9" spans="2:17" x14ac:dyDescent="0.25">
      <c r="B9" s="50" t="s">
        <v>187</v>
      </c>
      <c r="C9" s="54">
        <f>C10+0.9</f>
        <v>28.849999999999998</v>
      </c>
      <c r="D9" s="54">
        <f>D10+0.9</f>
        <v>32.85</v>
      </c>
      <c r="E9" s="59">
        <f>D9+5</f>
        <v>37.85</v>
      </c>
      <c r="F9" s="59"/>
      <c r="G9" s="46"/>
      <c r="H9" s="61" t="s">
        <v>187</v>
      </c>
      <c r="I9" s="54">
        <f t="shared" si="0"/>
        <v>31.734999999999999</v>
      </c>
      <c r="J9" s="54">
        <f t="shared" si="0"/>
        <v>36.135000000000005</v>
      </c>
      <c r="K9" s="59">
        <f>E9*$H$5+E9</f>
        <v>41.635000000000005</v>
      </c>
      <c r="L9" s="59"/>
    </row>
    <row r="10" spans="2:17" x14ac:dyDescent="0.25">
      <c r="B10" s="50" t="s">
        <v>188</v>
      </c>
      <c r="C10" s="54">
        <v>27.95</v>
      </c>
      <c r="D10" s="54">
        <v>31.95</v>
      </c>
      <c r="E10" s="59">
        <f>D10+5</f>
        <v>36.950000000000003</v>
      </c>
      <c r="F10" s="59"/>
      <c r="G10" s="46"/>
      <c r="H10" s="61" t="s">
        <v>188</v>
      </c>
      <c r="I10" s="54">
        <f t="shared" si="0"/>
        <v>30.744999999999997</v>
      </c>
      <c r="J10" s="54">
        <f t="shared" si="0"/>
        <v>35.144999999999996</v>
      </c>
      <c r="K10" s="59">
        <f>E10*$H$5+E10</f>
        <v>40.645000000000003</v>
      </c>
      <c r="L10" s="59"/>
    </row>
    <row r="11" spans="2:17" x14ac:dyDescent="0.25"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2:17" x14ac:dyDescent="0.25">
      <c r="B12" s="55" t="s">
        <v>203</v>
      </c>
      <c r="C12" s="46"/>
      <c r="D12" s="46"/>
      <c r="E12" s="46"/>
      <c r="F12" s="46"/>
      <c r="G12" s="46"/>
      <c r="H12" s="55" t="s">
        <v>203</v>
      </c>
      <c r="I12" s="46"/>
      <c r="J12" s="46"/>
      <c r="K12" s="46"/>
      <c r="L12" s="46"/>
      <c r="Q12">
        <v>37.85</v>
      </c>
    </row>
    <row r="13" spans="2:17" x14ac:dyDescent="0.25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2:17" ht="15.75" thickBot="1" x14ac:dyDescent="0.3">
      <c r="B14" s="46"/>
      <c r="C14" s="216" t="s">
        <v>189</v>
      </c>
      <c r="D14" s="216"/>
      <c r="E14" s="216"/>
      <c r="F14" s="79"/>
      <c r="G14" s="46"/>
      <c r="H14" s="46"/>
      <c r="I14" s="217" t="s">
        <v>190</v>
      </c>
      <c r="J14" s="217"/>
      <c r="K14" s="217"/>
      <c r="L14" s="79"/>
    </row>
    <row r="15" spans="2:17" ht="15.75" thickBot="1" x14ac:dyDescent="0.3">
      <c r="B15" s="46"/>
      <c r="C15" s="57" t="s">
        <v>44</v>
      </c>
      <c r="D15" s="57" t="s">
        <v>45</v>
      </c>
      <c r="E15" s="58" t="s">
        <v>46</v>
      </c>
      <c r="F15" s="79"/>
      <c r="G15" s="46"/>
      <c r="H15" s="80">
        <v>0.1</v>
      </c>
      <c r="I15" s="57" t="s">
        <v>44</v>
      </c>
      <c r="J15" s="57" t="s">
        <v>45</v>
      </c>
      <c r="K15" s="58" t="s">
        <v>46</v>
      </c>
      <c r="L15" s="79"/>
    </row>
    <row r="16" spans="2:17" x14ac:dyDescent="0.25">
      <c r="B16" s="50" t="s">
        <v>184</v>
      </c>
      <c r="C16" s="54">
        <f t="shared" ref="C16:C19" si="1">D16-4</f>
        <v>35.1</v>
      </c>
      <c r="D16" s="54">
        <f>D17+2.5</f>
        <v>39.1</v>
      </c>
      <c r="E16" s="59">
        <f>D16+5</f>
        <v>44.1</v>
      </c>
      <c r="F16" s="59"/>
      <c r="G16" s="46"/>
      <c r="H16" s="61" t="s">
        <v>184</v>
      </c>
      <c r="I16" s="54">
        <f>C16*$H$15+C16</f>
        <v>38.61</v>
      </c>
      <c r="J16" s="54">
        <f>D16*$H$15+D16</f>
        <v>43.010000000000005</v>
      </c>
      <c r="K16" s="59">
        <f>E16*$H$15+E16</f>
        <v>48.510000000000005</v>
      </c>
      <c r="L16" s="59"/>
    </row>
    <row r="17" spans="2:17" x14ac:dyDescent="0.25">
      <c r="B17" s="50" t="s">
        <v>185</v>
      </c>
      <c r="C17" s="54">
        <f t="shared" si="1"/>
        <v>32.6</v>
      </c>
      <c r="D17" s="54">
        <f>D18+1.5</f>
        <v>36.6</v>
      </c>
      <c r="E17" s="59">
        <f t="shared" ref="E17:E20" si="2">D17+5</f>
        <v>41.6</v>
      </c>
      <c r="F17" s="59"/>
      <c r="G17" s="46"/>
      <c r="H17" s="61" t="s">
        <v>185</v>
      </c>
      <c r="I17" s="54">
        <f t="shared" ref="I17:K20" si="3">C17*$H$15+C17</f>
        <v>35.86</v>
      </c>
      <c r="J17" s="54">
        <f t="shared" si="3"/>
        <v>40.260000000000005</v>
      </c>
      <c r="K17" s="59">
        <f t="shared" si="3"/>
        <v>45.760000000000005</v>
      </c>
      <c r="L17" s="59"/>
    </row>
    <row r="18" spans="2:17" x14ac:dyDescent="0.25">
      <c r="B18" s="50" t="s">
        <v>186</v>
      </c>
      <c r="C18" s="54">
        <f t="shared" si="1"/>
        <v>31.1</v>
      </c>
      <c r="D18" s="54">
        <f>D19+1</f>
        <v>35.1</v>
      </c>
      <c r="E18" s="59">
        <f t="shared" si="2"/>
        <v>40.1</v>
      </c>
      <c r="F18" s="59"/>
      <c r="G18" s="46"/>
      <c r="H18" s="61" t="s">
        <v>186</v>
      </c>
      <c r="I18" s="54">
        <f t="shared" si="3"/>
        <v>34.21</v>
      </c>
      <c r="J18" s="54">
        <f t="shared" si="3"/>
        <v>38.61</v>
      </c>
      <c r="K18" s="59">
        <f t="shared" si="3"/>
        <v>44.11</v>
      </c>
      <c r="L18" s="59"/>
    </row>
    <row r="19" spans="2:17" x14ac:dyDescent="0.25">
      <c r="B19" s="50" t="s">
        <v>187</v>
      </c>
      <c r="C19" s="54">
        <f t="shared" si="1"/>
        <v>30.1</v>
      </c>
      <c r="D19" s="54">
        <f>D20+0.9</f>
        <v>34.1</v>
      </c>
      <c r="E19" s="59">
        <f t="shared" si="2"/>
        <v>39.1</v>
      </c>
      <c r="F19" s="59"/>
      <c r="G19" s="46"/>
      <c r="H19" s="61" t="s">
        <v>187</v>
      </c>
      <c r="I19" s="54">
        <f t="shared" si="3"/>
        <v>33.11</v>
      </c>
      <c r="J19" s="54">
        <f t="shared" si="3"/>
        <v>37.510000000000005</v>
      </c>
      <c r="K19" s="59">
        <f t="shared" si="3"/>
        <v>43.010000000000005</v>
      </c>
      <c r="L19" s="59"/>
    </row>
    <row r="20" spans="2:17" x14ac:dyDescent="0.25">
      <c r="B20" s="50" t="s">
        <v>188</v>
      </c>
      <c r="C20" s="54">
        <f>D20-4</f>
        <v>29.200000000000003</v>
      </c>
      <c r="D20" s="54">
        <v>33.200000000000003</v>
      </c>
      <c r="E20" s="59">
        <f t="shared" si="2"/>
        <v>38.200000000000003</v>
      </c>
      <c r="F20" s="59"/>
      <c r="G20" s="46"/>
      <c r="H20" s="61" t="s">
        <v>188</v>
      </c>
      <c r="I20" s="54">
        <f t="shared" si="3"/>
        <v>32.120000000000005</v>
      </c>
      <c r="J20" s="54">
        <f t="shared" si="3"/>
        <v>36.520000000000003</v>
      </c>
      <c r="K20" s="59">
        <f t="shared" si="3"/>
        <v>42.02</v>
      </c>
      <c r="L20" s="59"/>
    </row>
    <row r="21" spans="2:17" x14ac:dyDescent="0.25"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2:17" ht="15.75" thickBot="1" x14ac:dyDescent="0.3">
      <c r="B22" s="46"/>
      <c r="C22" s="216" t="s">
        <v>191</v>
      </c>
      <c r="D22" s="216"/>
      <c r="E22" s="216"/>
      <c r="F22" s="216"/>
      <c r="G22" s="46"/>
      <c r="H22" s="46"/>
      <c r="I22" s="217" t="s">
        <v>192</v>
      </c>
      <c r="J22" s="217"/>
      <c r="K22" s="217"/>
      <c r="L22" s="217"/>
    </row>
    <row r="23" spans="2:17" ht="15.75" thickBot="1" x14ac:dyDescent="0.3">
      <c r="B23" s="46"/>
      <c r="C23" s="57" t="s">
        <v>44</v>
      </c>
      <c r="D23" s="57" t="s">
        <v>45</v>
      </c>
      <c r="E23" s="58" t="s">
        <v>46</v>
      </c>
      <c r="F23" s="58" t="s">
        <v>49</v>
      </c>
      <c r="G23" s="46"/>
      <c r="H23" s="80">
        <v>0.1</v>
      </c>
      <c r="I23" s="57" t="s">
        <v>44</v>
      </c>
      <c r="J23" s="57" t="s">
        <v>45</v>
      </c>
      <c r="K23" s="82" t="s">
        <v>46</v>
      </c>
      <c r="L23" s="82" t="s">
        <v>49</v>
      </c>
    </row>
    <row r="24" spans="2:17" x14ac:dyDescent="0.25">
      <c r="B24" s="50" t="s">
        <v>184</v>
      </c>
      <c r="C24" s="54">
        <f>D24-4</f>
        <v>47.449999999999996</v>
      </c>
      <c r="D24" s="54">
        <f>D25+2.5</f>
        <v>51.449999999999996</v>
      </c>
      <c r="E24" s="59">
        <f>D24+5</f>
        <v>56.449999999999996</v>
      </c>
      <c r="F24" s="59">
        <f>F25+2.5</f>
        <v>54.6</v>
      </c>
      <c r="G24" s="46"/>
      <c r="H24" s="61" t="s">
        <v>184</v>
      </c>
      <c r="I24" s="54">
        <f>C24*$H$23+C24</f>
        <v>52.194999999999993</v>
      </c>
      <c r="J24" s="54">
        <f>D24*$H$23+D24</f>
        <v>56.594999999999999</v>
      </c>
      <c r="K24" s="59">
        <f>E24*$H$23+E24</f>
        <v>62.094999999999999</v>
      </c>
      <c r="L24" s="59">
        <f>F24*$H$23+F24</f>
        <v>60.06</v>
      </c>
    </row>
    <row r="25" spans="2:17" x14ac:dyDescent="0.25">
      <c r="B25" s="50" t="s">
        <v>185</v>
      </c>
      <c r="C25" s="54">
        <f t="shared" ref="C25:C28" si="4">D25-4</f>
        <v>44.949999999999996</v>
      </c>
      <c r="D25" s="54">
        <f>D26+1.5</f>
        <v>48.949999999999996</v>
      </c>
      <c r="E25" s="59">
        <f t="shared" ref="E25:E28" si="5">D25+5</f>
        <v>53.949999999999996</v>
      </c>
      <c r="F25" s="59">
        <f>F26+1.5</f>
        <v>52.1</v>
      </c>
      <c r="G25" s="46"/>
      <c r="H25" s="61" t="s">
        <v>185</v>
      </c>
      <c r="I25" s="54">
        <f t="shared" ref="I25:L28" si="6">C25*$H$23+C25</f>
        <v>49.444999999999993</v>
      </c>
      <c r="J25" s="54">
        <f t="shared" si="6"/>
        <v>53.844999999999999</v>
      </c>
      <c r="K25" s="59">
        <f t="shared" si="6"/>
        <v>59.344999999999999</v>
      </c>
      <c r="L25" s="59">
        <f t="shared" si="6"/>
        <v>57.31</v>
      </c>
    </row>
    <row r="26" spans="2:17" x14ac:dyDescent="0.25">
      <c r="B26" s="50" t="s">
        <v>186</v>
      </c>
      <c r="C26" s="54">
        <f t="shared" si="4"/>
        <v>43.449999999999996</v>
      </c>
      <c r="D26" s="54">
        <f>D27+1</f>
        <v>47.449999999999996</v>
      </c>
      <c r="E26" s="59">
        <f t="shared" si="5"/>
        <v>52.449999999999996</v>
      </c>
      <c r="F26" s="59">
        <f>F27+1</f>
        <v>50.6</v>
      </c>
      <c r="G26" s="46"/>
      <c r="H26" s="61" t="s">
        <v>186</v>
      </c>
      <c r="I26" s="54">
        <f t="shared" si="6"/>
        <v>47.794999999999995</v>
      </c>
      <c r="J26" s="54">
        <f t="shared" si="6"/>
        <v>52.194999999999993</v>
      </c>
      <c r="K26" s="59">
        <f t="shared" si="6"/>
        <v>57.694999999999993</v>
      </c>
      <c r="L26" s="59">
        <f t="shared" si="6"/>
        <v>55.660000000000004</v>
      </c>
    </row>
    <row r="27" spans="2:17" x14ac:dyDescent="0.25">
      <c r="B27" s="50" t="s">
        <v>187</v>
      </c>
      <c r="C27" s="54">
        <f t="shared" si="4"/>
        <v>42.449999999999996</v>
      </c>
      <c r="D27" s="54">
        <f>D28+0.9</f>
        <v>46.449999999999996</v>
      </c>
      <c r="E27" s="59">
        <f t="shared" si="5"/>
        <v>51.449999999999996</v>
      </c>
      <c r="F27" s="59">
        <f>F28+0.9</f>
        <v>49.6</v>
      </c>
      <c r="G27" s="46"/>
      <c r="H27" s="61" t="s">
        <v>187</v>
      </c>
      <c r="I27" s="54">
        <f t="shared" si="6"/>
        <v>46.694999999999993</v>
      </c>
      <c r="J27" s="54">
        <f t="shared" si="6"/>
        <v>51.094999999999999</v>
      </c>
      <c r="K27" s="59">
        <f t="shared" si="6"/>
        <v>56.594999999999999</v>
      </c>
      <c r="L27" s="59">
        <f t="shared" si="6"/>
        <v>54.56</v>
      </c>
    </row>
    <row r="28" spans="2:17" x14ac:dyDescent="0.25">
      <c r="B28" s="50" t="s">
        <v>188</v>
      </c>
      <c r="C28" s="54">
        <f t="shared" si="4"/>
        <v>41.55</v>
      </c>
      <c r="D28" s="54">
        <v>45.55</v>
      </c>
      <c r="E28" s="59">
        <f t="shared" si="5"/>
        <v>50.55</v>
      </c>
      <c r="F28" s="59">
        <v>48.7</v>
      </c>
      <c r="G28" s="46"/>
      <c r="H28" s="61" t="s">
        <v>188</v>
      </c>
      <c r="I28" s="54">
        <f t="shared" si="6"/>
        <v>45.704999999999998</v>
      </c>
      <c r="J28" s="54">
        <f t="shared" si="6"/>
        <v>50.104999999999997</v>
      </c>
      <c r="K28" s="59">
        <f t="shared" si="6"/>
        <v>55.604999999999997</v>
      </c>
      <c r="L28" s="59">
        <f t="shared" si="6"/>
        <v>53.570000000000007</v>
      </c>
      <c r="Q28" s="192"/>
    </row>
    <row r="29" spans="2:17" x14ac:dyDescent="0.25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2:17" x14ac:dyDescent="0.25">
      <c r="B30" s="50" t="s">
        <v>196</v>
      </c>
      <c r="C30" s="46"/>
      <c r="D30" s="83"/>
      <c r="E30" s="46"/>
      <c r="F30" s="46"/>
      <c r="G30" s="46"/>
      <c r="H30" s="46"/>
      <c r="I30" s="46"/>
      <c r="J30" s="46"/>
      <c r="K30" s="46"/>
      <c r="L30" s="46"/>
      <c r="Q30">
        <v>39.1</v>
      </c>
    </row>
    <row r="31" spans="2:17" x14ac:dyDescent="0.25">
      <c r="B31" s="63" t="s">
        <v>50</v>
      </c>
      <c r="C31" s="46"/>
      <c r="D31" s="56">
        <v>5</v>
      </c>
      <c r="E31" s="64" t="s">
        <v>58</v>
      </c>
      <c r="F31" s="46"/>
      <c r="G31" s="46"/>
      <c r="H31" s="46"/>
      <c r="I31" s="46"/>
      <c r="J31" s="46"/>
      <c r="K31" s="46"/>
      <c r="L31" s="46"/>
      <c r="Q31">
        <v>5</v>
      </c>
    </row>
    <row r="32" spans="2:17" x14ac:dyDescent="0.25">
      <c r="B32" s="63" t="s">
        <v>51</v>
      </c>
      <c r="C32" s="46"/>
      <c r="D32" s="56">
        <v>7</v>
      </c>
      <c r="E32" s="64" t="s">
        <v>58</v>
      </c>
      <c r="F32" s="46"/>
      <c r="G32" s="46"/>
      <c r="H32" s="46"/>
      <c r="I32" s="46"/>
      <c r="J32" s="46"/>
      <c r="K32" s="46"/>
      <c r="L32" s="46"/>
    </row>
    <row r="33" spans="2:12" x14ac:dyDescent="0.25">
      <c r="B33" s="63" t="s">
        <v>53</v>
      </c>
      <c r="C33" s="46"/>
      <c r="D33" s="56">
        <v>2</v>
      </c>
      <c r="E33" s="65" t="s">
        <v>57</v>
      </c>
      <c r="F33" s="46"/>
      <c r="G33" s="46"/>
      <c r="H33" s="46"/>
      <c r="I33" s="46"/>
      <c r="J33" s="46"/>
      <c r="K33" s="46"/>
      <c r="L33" s="46"/>
    </row>
    <row r="34" spans="2:12" x14ac:dyDescent="0.25">
      <c r="B34" s="63" t="s">
        <v>52</v>
      </c>
      <c r="C34" s="46"/>
      <c r="D34" s="56">
        <v>3</v>
      </c>
      <c r="E34" s="64" t="s">
        <v>58</v>
      </c>
      <c r="F34" s="46"/>
      <c r="G34" s="46"/>
      <c r="H34" s="46"/>
      <c r="I34" s="46"/>
      <c r="J34" s="46"/>
      <c r="K34" s="46"/>
      <c r="L34" s="46"/>
    </row>
    <row r="35" spans="2:12" x14ac:dyDescent="0.25">
      <c r="B35" s="63" t="s">
        <v>54</v>
      </c>
      <c r="C35" s="46"/>
      <c r="D35" s="56">
        <v>3</v>
      </c>
      <c r="E35" s="64" t="s">
        <v>58</v>
      </c>
      <c r="F35" s="46"/>
      <c r="G35" s="46"/>
      <c r="H35" s="46"/>
      <c r="I35" s="46"/>
      <c r="J35" s="46"/>
      <c r="K35" s="46"/>
      <c r="L35" s="46"/>
    </row>
    <row r="36" spans="2:12" x14ac:dyDescent="0.25">
      <c r="B36" s="63" t="s">
        <v>55</v>
      </c>
      <c r="C36" s="46"/>
      <c r="D36" s="56">
        <v>2</v>
      </c>
      <c r="E36" s="64" t="s">
        <v>58</v>
      </c>
      <c r="F36" s="46"/>
      <c r="G36" s="46"/>
      <c r="H36" s="46"/>
      <c r="I36" s="46"/>
      <c r="J36" s="46"/>
      <c r="K36" s="46"/>
      <c r="L36" s="46"/>
    </row>
    <row r="37" spans="2:12" x14ac:dyDescent="0.25">
      <c r="B37" s="63" t="s">
        <v>56</v>
      </c>
      <c r="C37" s="46"/>
      <c r="D37" s="56">
        <v>2</v>
      </c>
      <c r="E37" s="64" t="s">
        <v>58</v>
      </c>
      <c r="F37" s="46"/>
      <c r="G37" s="46"/>
      <c r="H37" s="46"/>
      <c r="I37" s="46"/>
      <c r="J37" s="46"/>
      <c r="K37" s="46"/>
      <c r="L37" s="46"/>
    </row>
    <row r="38" spans="2:12" x14ac:dyDescent="0.25"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</row>
  </sheetData>
  <mergeCells count="7">
    <mergeCell ref="C22:F22"/>
    <mergeCell ref="I22:L22"/>
    <mergeCell ref="B2:P2"/>
    <mergeCell ref="C14:E14"/>
    <mergeCell ref="I14:K14"/>
    <mergeCell ref="C4:E4"/>
    <mergeCell ref="I4:K4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37"/>
  <sheetViews>
    <sheetView showGridLines="0" workbookViewId="0">
      <selection activeCell="D8" sqref="D8"/>
    </sheetView>
  </sheetViews>
  <sheetFormatPr defaultRowHeight="15" x14ac:dyDescent="0.25"/>
  <cols>
    <col min="1" max="1" width="2.7109375" customWidth="1"/>
    <col min="2" max="2" width="10.5703125" bestFit="1" customWidth="1"/>
    <col min="3" max="3" width="10.42578125" customWidth="1"/>
    <col min="4" max="5" width="9.5703125" bestFit="1" customWidth="1"/>
    <col min="7" max="15" width="9.5703125" bestFit="1" customWidth="1"/>
  </cols>
  <sheetData>
    <row r="2" spans="2:16" ht="21" x14ac:dyDescent="0.35">
      <c r="B2" s="214" t="s">
        <v>59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2:16" x14ac:dyDescent="0.25">
      <c r="B3" s="42"/>
      <c r="C3" s="42"/>
      <c r="D3" s="42"/>
    </row>
    <row r="4" spans="2:16" x14ac:dyDescent="0.25">
      <c r="B4" s="46"/>
      <c r="C4" s="221" t="s">
        <v>47</v>
      </c>
      <c r="D4" s="221"/>
      <c r="E4" s="221"/>
      <c r="F4" s="63"/>
      <c r="G4" s="63"/>
      <c r="H4" s="221" t="s">
        <v>199</v>
      </c>
      <c r="I4" s="221"/>
      <c r="J4" s="221"/>
      <c r="K4" s="63"/>
      <c r="L4" s="63"/>
      <c r="M4" s="221" t="s">
        <v>48</v>
      </c>
      <c r="N4" s="221"/>
      <c r="O4" s="221"/>
    </row>
    <row r="5" spans="2:16" x14ac:dyDescent="0.25">
      <c r="B5" s="46"/>
      <c r="C5" s="218" t="s">
        <v>195</v>
      </c>
      <c r="D5" s="218"/>
      <c r="E5" s="218"/>
      <c r="F5" s="46"/>
      <c r="G5" s="46"/>
      <c r="H5" s="219" t="s">
        <v>195</v>
      </c>
      <c r="I5" s="219"/>
      <c r="J5" s="219"/>
      <c r="K5" s="46"/>
      <c r="L5" s="46"/>
      <c r="M5" s="220" t="s">
        <v>195</v>
      </c>
      <c r="N5" s="220"/>
      <c r="O5" s="220"/>
    </row>
    <row r="6" spans="2:16" ht="15.75" thickBot="1" x14ac:dyDescent="0.3">
      <c r="B6" s="46"/>
      <c r="C6" s="57" t="s">
        <v>44</v>
      </c>
      <c r="D6" s="58" t="s">
        <v>46</v>
      </c>
      <c r="E6" s="58" t="s">
        <v>60</v>
      </c>
      <c r="F6" s="46"/>
      <c r="G6" s="46"/>
      <c r="H6" s="57" t="s">
        <v>44</v>
      </c>
      <c r="I6" s="58" t="s">
        <v>46</v>
      </c>
      <c r="J6" s="58" t="s">
        <v>60</v>
      </c>
      <c r="K6" s="46"/>
      <c r="L6" s="46"/>
      <c r="M6" s="57" t="s">
        <v>44</v>
      </c>
      <c r="N6" s="58" t="s">
        <v>46</v>
      </c>
      <c r="O6" s="58" t="s">
        <v>60</v>
      </c>
    </row>
    <row r="7" spans="2:16" x14ac:dyDescent="0.25">
      <c r="B7" s="50" t="s">
        <v>184</v>
      </c>
      <c r="C7" s="54">
        <f>33.85+20</f>
        <v>53.85</v>
      </c>
      <c r="D7" s="59">
        <f>42.85+20</f>
        <v>62.85</v>
      </c>
      <c r="E7" s="60">
        <f>+D7+10</f>
        <v>72.849999999999994</v>
      </c>
      <c r="F7" s="46"/>
      <c r="G7" s="61" t="s">
        <v>184</v>
      </c>
      <c r="H7" s="54">
        <f>+C7+2</f>
        <v>55.85</v>
      </c>
      <c r="I7" s="54">
        <f t="shared" ref="I7:J7" si="0">+D7+2</f>
        <v>64.849999999999994</v>
      </c>
      <c r="J7" s="54">
        <f t="shared" si="0"/>
        <v>74.849999999999994</v>
      </c>
      <c r="K7" s="46"/>
      <c r="L7" s="62" t="s">
        <v>184</v>
      </c>
      <c r="M7" s="54">
        <f>+C7+10</f>
        <v>63.85</v>
      </c>
      <c r="N7" s="54">
        <f t="shared" ref="N7:O7" si="1">+D7+10</f>
        <v>72.849999999999994</v>
      </c>
      <c r="O7" s="54">
        <f t="shared" si="1"/>
        <v>82.85</v>
      </c>
    </row>
    <row r="8" spans="2:16" x14ac:dyDescent="0.25">
      <c r="B8" s="50" t="s">
        <v>185</v>
      </c>
      <c r="C8" s="54">
        <f>31.35+20</f>
        <v>51.35</v>
      </c>
      <c r="D8" s="59">
        <f>40.35+20</f>
        <v>60.35</v>
      </c>
      <c r="E8" s="60">
        <f t="shared" ref="E8:E11" si="2">+D8+10</f>
        <v>70.349999999999994</v>
      </c>
      <c r="F8" s="46"/>
      <c r="G8" s="61" t="s">
        <v>185</v>
      </c>
      <c r="H8" s="54">
        <f t="shared" ref="H8:H11" si="3">+C8+2</f>
        <v>53.35</v>
      </c>
      <c r="I8" s="54">
        <f t="shared" ref="I8:I11" si="4">+D8+2</f>
        <v>62.35</v>
      </c>
      <c r="J8" s="54">
        <f t="shared" ref="J8:J11" si="5">+E8+2</f>
        <v>72.349999999999994</v>
      </c>
      <c r="K8" s="46"/>
      <c r="L8" s="62" t="s">
        <v>185</v>
      </c>
      <c r="M8" s="54">
        <f t="shared" ref="M8:M11" si="6">+C8+10</f>
        <v>61.35</v>
      </c>
      <c r="N8" s="54">
        <f t="shared" ref="N8:N11" si="7">+D8+10</f>
        <v>70.349999999999994</v>
      </c>
      <c r="O8" s="54">
        <f t="shared" ref="O8:O11" si="8">+E8+10</f>
        <v>80.349999999999994</v>
      </c>
    </row>
    <row r="9" spans="2:16" x14ac:dyDescent="0.25">
      <c r="B9" s="50" t="s">
        <v>186</v>
      </c>
      <c r="C9" s="54">
        <f>29.85+20</f>
        <v>49.85</v>
      </c>
      <c r="D9" s="59">
        <f>38.85+20</f>
        <v>58.85</v>
      </c>
      <c r="E9" s="60">
        <f t="shared" si="2"/>
        <v>68.849999999999994</v>
      </c>
      <c r="F9" s="46"/>
      <c r="G9" s="61" t="s">
        <v>186</v>
      </c>
      <c r="H9" s="54">
        <f t="shared" si="3"/>
        <v>51.85</v>
      </c>
      <c r="I9" s="54">
        <f t="shared" si="4"/>
        <v>60.85</v>
      </c>
      <c r="J9" s="54">
        <f t="shared" si="5"/>
        <v>70.849999999999994</v>
      </c>
      <c r="K9" s="46"/>
      <c r="L9" s="62" t="s">
        <v>186</v>
      </c>
      <c r="M9" s="54">
        <f t="shared" si="6"/>
        <v>59.85</v>
      </c>
      <c r="N9" s="54">
        <f t="shared" si="7"/>
        <v>68.849999999999994</v>
      </c>
      <c r="O9" s="54">
        <f t="shared" si="8"/>
        <v>78.849999999999994</v>
      </c>
    </row>
    <row r="10" spans="2:16" x14ac:dyDescent="0.25">
      <c r="B10" s="50" t="s">
        <v>187</v>
      </c>
      <c r="C10" s="54">
        <f>28.85+20</f>
        <v>48.85</v>
      </c>
      <c r="D10" s="59">
        <f>37.85+20</f>
        <v>57.85</v>
      </c>
      <c r="E10" s="60">
        <f t="shared" si="2"/>
        <v>67.849999999999994</v>
      </c>
      <c r="F10" s="46"/>
      <c r="G10" s="61" t="s">
        <v>187</v>
      </c>
      <c r="H10" s="54">
        <f t="shared" si="3"/>
        <v>50.85</v>
      </c>
      <c r="I10" s="54">
        <f t="shared" si="4"/>
        <v>59.85</v>
      </c>
      <c r="J10" s="54">
        <f t="shared" si="5"/>
        <v>69.849999999999994</v>
      </c>
      <c r="K10" s="46"/>
      <c r="L10" s="62" t="s">
        <v>187</v>
      </c>
      <c r="M10" s="54">
        <f t="shared" si="6"/>
        <v>58.85</v>
      </c>
      <c r="N10" s="54">
        <f t="shared" si="7"/>
        <v>67.849999999999994</v>
      </c>
      <c r="O10" s="54">
        <f t="shared" si="8"/>
        <v>77.849999999999994</v>
      </c>
    </row>
    <row r="11" spans="2:16" x14ac:dyDescent="0.25">
      <c r="B11" s="50" t="s">
        <v>188</v>
      </c>
      <c r="C11" s="54">
        <f>27.95+20</f>
        <v>47.95</v>
      </c>
      <c r="D11" s="59">
        <f>36.95+20</f>
        <v>56.95</v>
      </c>
      <c r="E11" s="60">
        <f t="shared" si="2"/>
        <v>66.95</v>
      </c>
      <c r="F11" s="46"/>
      <c r="G11" s="61" t="s">
        <v>188</v>
      </c>
      <c r="H11" s="54">
        <f t="shared" si="3"/>
        <v>49.95</v>
      </c>
      <c r="I11" s="54">
        <f t="shared" si="4"/>
        <v>58.95</v>
      </c>
      <c r="J11" s="54">
        <f t="shared" si="5"/>
        <v>68.95</v>
      </c>
      <c r="K11" s="46"/>
      <c r="L11" s="62" t="s">
        <v>188</v>
      </c>
      <c r="M11" s="54">
        <f t="shared" si="6"/>
        <v>57.95</v>
      </c>
      <c r="N11" s="54">
        <f t="shared" si="7"/>
        <v>66.95</v>
      </c>
      <c r="O11" s="54">
        <f t="shared" si="8"/>
        <v>76.95</v>
      </c>
    </row>
    <row r="12" spans="2:16" ht="15.75" customHeight="1" x14ac:dyDescent="0.2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</row>
    <row r="13" spans="2:16" x14ac:dyDescent="0.25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spans="2:16" x14ac:dyDescent="0.25">
      <c r="B14" s="46"/>
      <c r="C14" s="218" t="s">
        <v>194</v>
      </c>
      <c r="D14" s="218"/>
      <c r="E14" s="218"/>
      <c r="F14" s="46"/>
      <c r="G14" s="46"/>
      <c r="H14" s="219" t="s">
        <v>194</v>
      </c>
      <c r="I14" s="219"/>
      <c r="J14" s="219"/>
      <c r="K14" s="46"/>
      <c r="L14" s="46"/>
      <c r="M14" s="220" t="s">
        <v>194</v>
      </c>
      <c r="N14" s="220"/>
      <c r="O14" s="220"/>
    </row>
    <row r="15" spans="2:16" ht="15.75" thickBot="1" x14ac:dyDescent="0.3">
      <c r="B15" s="46"/>
      <c r="C15" s="57" t="s">
        <v>44</v>
      </c>
      <c r="D15" s="58" t="s">
        <v>46</v>
      </c>
      <c r="E15" s="58" t="s">
        <v>60</v>
      </c>
      <c r="F15" s="46"/>
      <c r="G15" s="46"/>
      <c r="H15" s="57" t="s">
        <v>44</v>
      </c>
      <c r="I15" s="58" t="s">
        <v>46</v>
      </c>
      <c r="J15" s="58" t="s">
        <v>60</v>
      </c>
      <c r="K15" s="46"/>
      <c r="L15" s="46"/>
      <c r="M15" s="57" t="s">
        <v>44</v>
      </c>
      <c r="N15" s="58" t="s">
        <v>46</v>
      </c>
      <c r="O15" s="58" t="s">
        <v>60</v>
      </c>
    </row>
    <row r="16" spans="2:16" x14ac:dyDescent="0.25">
      <c r="B16" s="50" t="s">
        <v>184</v>
      </c>
      <c r="C16" s="54">
        <f>33.85+15</f>
        <v>48.85</v>
      </c>
      <c r="D16" s="59">
        <f>42.85+15</f>
        <v>57.85</v>
      </c>
      <c r="E16" s="60">
        <f>+D16+10</f>
        <v>67.849999999999994</v>
      </c>
      <c r="F16" s="46"/>
      <c r="G16" s="61" t="s">
        <v>184</v>
      </c>
      <c r="H16" s="54">
        <f>+C16+2</f>
        <v>50.85</v>
      </c>
      <c r="I16" s="54">
        <f t="shared" ref="I16:I20" si="9">+D16+2</f>
        <v>59.85</v>
      </c>
      <c r="J16" s="54">
        <f t="shared" ref="J16:J20" si="10">+E16+2</f>
        <v>69.849999999999994</v>
      </c>
      <c r="K16" s="46"/>
      <c r="L16" s="62" t="s">
        <v>184</v>
      </c>
      <c r="M16" s="54">
        <f>+C16+10</f>
        <v>58.85</v>
      </c>
      <c r="N16" s="54">
        <f t="shared" ref="N16:N20" si="11">+D16+10</f>
        <v>67.849999999999994</v>
      </c>
      <c r="O16" s="54">
        <f t="shared" ref="O16:O20" si="12">+E16+10</f>
        <v>77.849999999999994</v>
      </c>
    </row>
    <row r="17" spans="2:15" x14ac:dyDescent="0.25">
      <c r="B17" s="50" t="s">
        <v>185</v>
      </c>
      <c r="C17" s="54">
        <f>31.35+15</f>
        <v>46.35</v>
      </c>
      <c r="D17" s="59">
        <f>40.35+15</f>
        <v>55.35</v>
      </c>
      <c r="E17" s="60">
        <f t="shared" ref="E17:E20" si="13">+D17+10</f>
        <v>65.349999999999994</v>
      </c>
      <c r="F17" s="46"/>
      <c r="G17" s="61" t="s">
        <v>185</v>
      </c>
      <c r="H17" s="54">
        <f t="shared" ref="H17:H20" si="14">+C17+2</f>
        <v>48.35</v>
      </c>
      <c r="I17" s="54">
        <f t="shared" si="9"/>
        <v>57.35</v>
      </c>
      <c r="J17" s="54">
        <f t="shared" si="10"/>
        <v>67.349999999999994</v>
      </c>
      <c r="K17" s="46"/>
      <c r="L17" s="62" t="s">
        <v>185</v>
      </c>
      <c r="M17" s="54">
        <f t="shared" ref="M17:M20" si="15">+C17+10</f>
        <v>56.35</v>
      </c>
      <c r="N17" s="54">
        <f t="shared" si="11"/>
        <v>65.349999999999994</v>
      </c>
      <c r="O17" s="54">
        <f t="shared" si="12"/>
        <v>75.349999999999994</v>
      </c>
    </row>
    <row r="18" spans="2:15" x14ac:dyDescent="0.25">
      <c r="B18" s="50" t="s">
        <v>186</v>
      </c>
      <c r="C18" s="54">
        <f>29.85+15</f>
        <v>44.85</v>
      </c>
      <c r="D18" s="59">
        <f>38.85+15</f>
        <v>53.85</v>
      </c>
      <c r="E18" s="60">
        <f t="shared" si="13"/>
        <v>63.85</v>
      </c>
      <c r="F18" s="46"/>
      <c r="G18" s="61" t="s">
        <v>186</v>
      </c>
      <c r="H18" s="54">
        <f t="shared" si="14"/>
        <v>46.85</v>
      </c>
      <c r="I18" s="54">
        <f t="shared" si="9"/>
        <v>55.85</v>
      </c>
      <c r="J18" s="54">
        <f t="shared" si="10"/>
        <v>65.849999999999994</v>
      </c>
      <c r="K18" s="46"/>
      <c r="L18" s="62" t="s">
        <v>186</v>
      </c>
      <c r="M18" s="54">
        <f t="shared" si="15"/>
        <v>54.85</v>
      </c>
      <c r="N18" s="54">
        <f t="shared" si="11"/>
        <v>63.85</v>
      </c>
      <c r="O18" s="54">
        <f t="shared" si="12"/>
        <v>73.849999999999994</v>
      </c>
    </row>
    <row r="19" spans="2:15" x14ac:dyDescent="0.25">
      <c r="B19" s="50" t="s">
        <v>187</v>
      </c>
      <c r="C19" s="54">
        <f>28.85+15</f>
        <v>43.85</v>
      </c>
      <c r="D19" s="59">
        <f>37.85+15</f>
        <v>52.85</v>
      </c>
      <c r="E19" s="60">
        <f t="shared" si="13"/>
        <v>62.85</v>
      </c>
      <c r="F19" s="46"/>
      <c r="G19" s="61" t="s">
        <v>187</v>
      </c>
      <c r="H19" s="54">
        <f t="shared" si="14"/>
        <v>45.85</v>
      </c>
      <c r="I19" s="54">
        <f t="shared" si="9"/>
        <v>54.85</v>
      </c>
      <c r="J19" s="54">
        <f t="shared" si="10"/>
        <v>64.849999999999994</v>
      </c>
      <c r="K19" s="46"/>
      <c r="L19" s="62" t="s">
        <v>187</v>
      </c>
      <c r="M19" s="54">
        <f t="shared" si="15"/>
        <v>53.85</v>
      </c>
      <c r="N19" s="54">
        <f t="shared" si="11"/>
        <v>62.85</v>
      </c>
      <c r="O19" s="54">
        <f t="shared" si="12"/>
        <v>72.849999999999994</v>
      </c>
    </row>
    <row r="20" spans="2:15" x14ac:dyDescent="0.25">
      <c r="B20" s="50" t="s">
        <v>188</v>
      </c>
      <c r="C20" s="54">
        <f>27.95+15</f>
        <v>42.95</v>
      </c>
      <c r="D20" s="59">
        <f>36.95+15</f>
        <v>51.95</v>
      </c>
      <c r="E20" s="60">
        <f t="shared" si="13"/>
        <v>61.95</v>
      </c>
      <c r="F20" s="46"/>
      <c r="G20" s="61" t="s">
        <v>188</v>
      </c>
      <c r="H20" s="54">
        <f t="shared" si="14"/>
        <v>44.95</v>
      </c>
      <c r="I20" s="54">
        <f t="shared" si="9"/>
        <v>53.95</v>
      </c>
      <c r="J20" s="54">
        <f t="shared" si="10"/>
        <v>63.95</v>
      </c>
      <c r="K20" s="46"/>
      <c r="L20" s="62" t="s">
        <v>188</v>
      </c>
      <c r="M20" s="54">
        <f t="shared" si="15"/>
        <v>52.95</v>
      </c>
      <c r="N20" s="54">
        <f t="shared" si="11"/>
        <v>61.95</v>
      </c>
      <c r="O20" s="54">
        <f t="shared" si="12"/>
        <v>71.95</v>
      </c>
    </row>
    <row r="21" spans="2:15" x14ac:dyDescent="0.25"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</row>
    <row r="22" spans="2:15" x14ac:dyDescent="0.25"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</row>
    <row r="23" spans="2:15" x14ac:dyDescent="0.25">
      <c r="B23" s="46"/>
      <c r="C23" s="218" t="s">
        <v>193</v>
      </c>
      <c r="D23" s="218"/>
      <c r="E23" s="218"/>
      <c r="F23" s="46"/>
      <c r="G23" s="46"/>
      <c r="H23" s="219" t="s">
        <v>193</v>
      </c>
      <c r="I23" s="219"/>
      <c r="J23" s="219"/>
      <c r="K23" s="46"/>
      <c r="L23" s="46"/>
      <c r="M23" s="220" t="s">
        <v>193</v>
      </c>
      <c r="N23" s="220"/>
      <c r="O23" s="220"/>
    </row>
    <row r="24" spans="2:15" ht="15.75" customHeight="1" thickBot="1" x14ac:dyDescent="0.3">
      <c r="B24" s="46"/>
      <c r="C24" s="57" t="s">
        <v>44</v>
      </c>
      <c r="D24" s="58" t="s">
        <v>46</v>
      </c>
      <c r="E24" s="58" t="s">
        <v>60</v>
      </c>
      <c r="F24" s="46"/>
      <c r="G24" s="46"/>
      <c r="H24" s="57" t="s">
        <v>44</v>
      </c>
      <c r="I24" s="58" t="s">
        <v>46</v>
      </c>
      <c r="J24" s="58" t="s">
        <v>60</v>
      </c>
      <c r="K24" s="46"/>
      <c r="L24" s="46"/>
      <c r="M24" s="57" t="s">
        <v>44</v>
      </c>
      <c r="N24" s="58" t="s">
        <v>46</v>
      </c>
      <c r="O24" s="58" t="s">
        <v>60</v>
      </c>
    </row>
    <row r="25" spans="2:15" x14ac:dyDescent="0.25">
      <c r="B25" s="50" t="s">
        <v>184</v>
      </c>
      <c r="C25" s="54">
        <f>33.85+8</f>
        <v>41.85</v>
      </c>
      <c r="D25" s="59">
        <f>42.85+8</f>
        <v>50.85</v>
      </c>
      <c r="E25" s="60">
        <f>+D25+10</f>
        <v>60.85</v>
      </c>
      <c r="F25" s="46"/>
      <c r="G25" s="61" t="s">
        <v>184</v>
      </c>
      <c r="H25" s="54">
        <f>+C25+2</f>
        <v>43.85</v>
      </c>
      <c r="I25" s="54">
        <f t="shared" ref="I25:I29" si="16">+D25+2</f>
        <v>52.85</v>
      </c>
      <c r="J25" s="54">
        <f t="shared" ref="J25:J29" si="17">+E25+2</f>
        <v>62.85</v>
      </c>
      <c r="K25" s="46"/>
      <c r="L25" s="62" t="s">
        <v>184</v>
      </c>
      <c r="M25" s="54">
        <f>+C25+10</f>
        <v>51.85</v>
      </c>
      <c r="N25" s="54">
        <f t="shared" ref="N25:N29" si="18">+D25+10</f>
        <v>60.85</v>
      </c>
      <c r="O25" s="54">
        <f t="shared" ref="O25:O29" si="19">+E25+10</f>
        <v>70.849999999999994</v>
      </c>
    </row>
    <row r="26" spans="2:15" x14ac:dyDescent="0.25">
      <c r="B26" s="50" t="s">
        <v>185</v>
      </c>
      <c r="C26" s="54">
        <f>31.35+8</f>
        <v>39.35</v>
      </c>
      <c r="D26" s="59">
        <f>40.35+8</f>
        <v>48.35</v>
      </c>
      <c r="E26" s="60">
        <f t="shared" ref="E26:E29" si="20">+D26+10</f>
        <v>58.35</v>
      </c>
      <c r="F26" s="46"/>
      <c r="G26" s="61" t="s">
        <v>185</v>
      </c>
      <c r="H26" s="54">
        <f t="shared" ref="H26:H29" si="21">+C26+2</f>
        <v>41.35</v>
      </c>
      <c r="I26" s="54">
        <f t="shared" si="16"/>
        <v>50.35</v>
      </c>
      <c r="J26" s="54">
        <f t="shared" si="17"/>
        <v>60.35</v>
      </c>
      <c r="K26" s="46"/>
      <c r="L26" s="62" t="s">
        <v>185</v>
      </c>
      <c r="M26" s="54">
        <f t="shared" ref="M26:M29" si="22">+C26+10</f>
        <v>49.35</v>
      </c>
      <c r="N26" s="54">
        <f t="shared" si="18"/>
        <v>58.35</v>
      </c>
      <c r="O26" s="54">
        <f t="shared" si="19"/>
        <v>68.349999999999994</v>
      </c>
    </row>
    <row r="27" spans="2:15" x14ac:dyDescent="0.25">
      <c r="B27" s="50" t="s">
        <v>186</v>
      </c>
      <c r="C27" s="54">
        <f>29.85+8</f>
        <v>37.85</v>
      </c>
      <c r="D27" s="59">
        <f>38.85+8</f>
        <v>46.85</v>
      </c>
      <c r="E27" s="60">
        <f t="shared" si="20"/>
        <v>56.85</v>
      </c>
      <c r="F27" s="46"/>
      <c r="G27" s="61" t="s">
        <v>186</v>
      </c>
      <c r="H27" s="54">
        <f t="shared" si="21"/>
        <v>39.85</v>
      </c>
      <c r="I27" s="54">
        <f t="shared" si="16"/>
        <v>48.85</v>
      </c>
      <c r="J27" s="54">
        <f t="shared" si="17"/>
        <v>58.85</v>
      </c>
      <c r="K27" s="46"/>
      <c r="L27" s="62" t="s">
        <v>186</v>
      </c>
      <c r="M27" s="54">
        <f t="shared" si="22"/>
        <v>47.85</v>
      </c>
      <c r="N27" s="54">
        <f t="shared" si="18"/>
        <v>56.85</v>
      </c>
      <c r="O27" s="54">
        <f t="shared" si="19"/>
        <v>66.849999999999994</v>
      </c>
    </row>
    <row r="28" spans="2:15" x14ac:dyDescent="0.25">
      <c r="B28" s="50" t="s">
        <v>187</v>
      </c>
      <c r="C28" s="54">
        <f>28.85+8</f>
        <v>36.85</v>
      </c>
      <c r="D28" s="59">
        <f>37.85+8</f>
        <v>45.85</v>
      </c>
      <c r="E28" s="60">
        <f t="shared" si="20"/>
        <v>55.85</v>
      </c>
      <c r="F28" s="46"/>
      <c r="G28" s="61" t="s">
        <v>187</v>
      </c>
      <c r="H28" s="54">
        <f t="shared" si="21"/>
        <v>38.85</v>
      </c>
      <c r="I28" s="54">
        <f t="shared" si="16"/>
        <v>47.85</v>
      </c>
      <c r="J28" s="54">
        <f t="shared" si="17"/>
        <v>57.85</v>
      </c>
      <c r="K28" s="46"/>
      <c r="L28" s="62" t="s">
        <v>187</v>
      </c>
      <c r="M28" s="54">
        <f t="shared" si="22"/>
        <v>46.85</v>
      </c>
      <c r="N28" s="54">
        <f t="shared" si="18"/>
        <v>55.85</v>
      </c>
      <c r="O28" s="54">
        <f t="shared" si="19"/>
        <v>65.849999999999994</v>
      </c>
    </row>
    <row r="29" spans="2:15" x14ac:dyDescent="0.25">
      <c r="B29" s="50" t="s">
        <v>188</v>
      </c>
      <c r="C29" s="54">
        <f>27.95+8</f>
        <v>35.950000000000003</v>
      </c>
      <c r="D29" s="59">
        <f>36.95+8</f>
        <v>44.95</v>
      </c>
      <c r="E29" s="60">
        <f t="shared" si="20"/>
        <v>54.95</v>
      </c>
      <c r="F29" s="46"/>
      <c r="G29" s="61" t="s">
        <v>188</v>
      </c>
      <c r="H29" s="54">
        <f t="shared" si="21"/>
        <v>37.950000000000003</v>
      </c>
      <c r="I29" s="54">
        <f t="shared" si="16"/>
        <v>46.95</v>
      </c>
      <c r="J29" s="54">
        <f t="shared" si="17"/>
        <v>56.95</v>
      </c>
      <c r="K29" s="46"/>
      <c r="L29" s="62" t="s">
        <v>188</v>
      </c>
      <c r="M29" s="54">
        <f t="shared" si="22"/>
        <v>45.95</v>
      </c>
      <c r="N29" s="54">
        <f t="shared" si="18"/>
        <v>54.95</v>
      </c>
      <c r="O29" s="54">
        <f t="shared" si="19"/>
        <v>64.95</v>
      </c>
    </row>
    <row r="30" spans="2:15" x14ac:dyDescent="0.25"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</row>
    <row r="31" spans="2:15" x14ac:dyDescent="0.25">
      <c r="B31" s="50" t="s">
        <v>196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</row>
    <row r="32" spans="2:15" x14ac:dyDescent="0.25">
      <c r="B32" s="63" t="s">
        <v>12</v>
      </c>
      <c r="C32" s="46"/>
      <c r="D32" s="56">
        <v>5</v>
      </c>
      <c r="E32" s="64" t="s">
        <v>58</v>
      </c>
      <c r="F32" s="46"/>
      <c r="G32" s="46"/>
      <c r="H32" s="46"/>
      <c r="I32" s="46"/>
      <c r="J32" s="46"/>
      <c r="K32" s="46"/>
      <c r="L32" s="46"/>
      <c r="M32" s="46"/>
      <c r="N32" s="46"/>
      <c r="O32" s="46"/>
    </row>
    <row r="33" spans="2:15" x14ac:dyDescent="0.25">
      <c r="B33" s="63" t="s">
        <v>53</v>
      </c>
      <c r="C33" s="46"/>
      <c r="D33" s="56">
        <v>2</v>
      </c>
      <c r="E33" s="65" t="s">
        <v>57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</row>
    <row r="34" spans="2:15" x14ac:dyDescent="0.25">
      <c r="B34" s="63" t="s">
        <v>62</v>
      </c>
      <c r="C34" s="46"/>
      <c r="D34" s="56">
        <v>3</v>
      </c>
      <c r="E34" s="64" t="s">
        <v>58</v>
      </c>
      <c r="F34" s="46"/>
      <c r="G34" s="46"/>
      <c r="H34" s="46"/>
      <c r="I34" s="46"/>
      <c r="J34" s="46"/>
      <c r="K34" s="46"/>
      <c r="L34" s="46"/>
      <c r="M34" s="46"/>
      <c r="N34" s="46"/>
      <c r="O34" s="46"/>
    </row>
    <row r="35" spans="2:15" x14ac:dyDescent="0.25">
      <c r="B35" s="63" t="s">
        <v>63</v>
      </c>
      <c r="C35" s="46"/>
      <c r="D35" s="56">
        <v>10</v>
      </c>
      <c r="E35" s="64" t="s">
        <v>58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</row>
    <row r="36" spans="2:15" x14ac:dyDescent="0.25"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</row>
    <row r="37" spans="2:15" x14ac:dyDescent="0.25">
      <c r="B37" s="66" t="s">
        <v>64</v>
      </c>
      <c r="C37" s="67" t="s">
        <v>65</v>
      </c>
      <c r="D37" s="67"/>
      <c r="E37" s="67"/>
      <c r="F37" s="67"/>
      <c r="G37" s="67"/>
      <c r="H37" s="67"/>
      <c r="I37" s="67"/>
      <c r="J37" s="46"/>
      <c r="K37" s="46"/>
      <c r="L37" s="46"/>
      <c r="M37" s="46"/>
      <c r="N37" s="46"/>
      <c r="O37" s="46"/>
    </row>
  </sheetData>
  <mergeCells count="13">
    <mergeCell ref="B2:P2"/>
    <mergeCell ref="C4:E4"/>
    <mergeCell ref="H4:J4"/>
    <mergeCell ref="M4:O4"/>
    <mergeCell ref="C5:E5"/>
    <mergeCell ref="H5:J5"/>
    <mergeCell ref="M5:O5"/>
    <mergeCell ref="C14:E14"/>
    <mergeCell ref="C23:E23"/>
    <mergeCell ref="H14:J14"/>
    <mergeCell ref="H23:J23"/>
    <mergeCell ref="M14:O14"/>
    <mergeCell ref="M23:O2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26"/>
  <sheetViews>
    <sheetView showGridLines="0" workbookViewId="0">
      <selection activeCell="C7" sqref="C7"/>
    </sheetView>
  </sheetViews>
  <sheetFormatPr defaultRowHeight="15" x14ac:dyDescent="0.25"/>
  <cols>
    <col min="1" max="1" width="2.7109375" customWidth="1"/>
    <col min="2" max="2" width="13.140625" customWidth="1"/>
    <col min="3" max="3" width="11.42578125" bestFit="1" customWidth="1"/>
    <col min="4" max="4" width="12.28515625" customWidth="1"/>
    <col min="5" max="5" width="13.42578125" customWidth="1"/>
    <col min="6" max="6" width="12.85546875" bestFit="1" customWidth="1"/>
    <col min="7" max="7" width="2.7109375" customWidth="1"/>
    <col min="9" max="9" width="14.28515625" bestFit="1" customWidth="1"/>
    <col min="10" max="10" width="12.85546875" bestFit="1" customWidth="1"/>
    <col min="11" max="12" width="10" bestFit="1" customWidth="1"/>
    <col min="13" max="13" width="11.5703125" bestFit="1" customWidth="1"/>
    <col min="16" max="16" width="10.28515625" customWidth="1"/>
    <col min="17" max="17" width="11" customWidth="1"/>
    <col min="18" max="18" width="10.5703125" customWidth="1"/>
  </cols>
  <sheetData>
    <row r="2" spans="2:18" ht="19.5" customHeight="1" x14ac:dyDescent="0.35">
      <c r="B2" s="214" t="s">
        <v>200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2:18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2:18" x14ac:dyDescent="0.25">
      <c r="B4" s="46"/>
      <c r="C4" s="218" t="s">
        <v>70</v>
      </c>
      <c r="D4" s="218"/>
      <c r="E4" s="218"/>
      <c r="F4" s="46"/>
      <c r="G4" s="46"/>
      <c r="H4" s="46"/>
      <c r="I4" s="46"/>
      <c r="J4" s="219" t="s">
        <v>202</v>
      </c>
      <c r="K4" s="219"/>
      <c r="L4" s="219"/>
      <c r="M4" s="46"/>
      <c r="N4" s="46"/>
      <c r="O4" s="46"/>
      <c r="P4" s="46"/>
    </row>
    <row r="5" spans="2:18" ht="19.5" customHeight="1" x14ac:dyDescent="0.25">
      <c r="B5" s="47" t="s">
        <v>66</v>
      </c>
      <c r="C5" s="48" t="s">
        <v>5</v>
      </c>
      <c r="D5" s="43" t="s">
        <v>5</v>
      </c>
      <c r="E5" s="43" t="s">
        <v>5</v>
      </c>
      <c r="F5" s="43" t="s">
        <v>69</v>
      </c>
      <c r="G5" s="46"/>
      <c r="H5" s="46"/>
      <c r="I5" s="78" t="s">
        <v>66</v>
      </c>
      <c r="J5" s="48" t="s">
        <v>5</v>
      </c>
      <c r="K5" s="43" t="s">
        <v>5</v>
      </c>
      <c r="L5" s="43" t="s">
        <v>5</v>
      </c>
      <c r="M5" s="43" t="s">
        <v>69</v>
      </c>
      <c r="N5" s="46"/>
      <c r="O5" s="46"/>
      <c r="P5" s="46"/>
    </row>
    <row r="6" spans="2:18" x14ac:dyDescent="0.25">
      <c r="B6" s="47"/>
      <c r="C6" s="13" t="s">
        <v>67</v>
      </c>
      <c r="D6" s="49" t="s">
        <v>61</v>
      </c>
      <c r="E6" s="49" t="s">
        <v>68</v>
      </c>
      <c r="F6" s="43"/>
      <c r="G6" s="46"/>
      <c r="H6" s="46"/>
      <c r="I6" s="78"/>
      <c r="J6" s="13" t="s">
        <v>67</v>
      </c>
      <c r="K6" s="49" t="s">
        <v>61</v>
      </c>
      <c r="L6" s="49" t="s">
        <v>68</v>
      </c>
      <c r="M6" s="43"/>
      <c r="N6" s="46"/>
      <c r="O6" s="46"/>
      <c r="P6" s="46"/>
    </row>
    <row r="7" spans="2:18" x14ac:dyDescent="0.25">
      <c r="B7" s="50" t="s">
        <v>184</v>
      </c>
      <c r="C7" s="51">
        <v>24</v>
      </c>
      <c r="D7" s="52">
        <v>3.7</v>
      </c>
      <c r="E7" s="52">
        <v>3.7</v>
      </c>
      <c r="F7" s="53">
        <f>SUM(C7:E7)</f>
        <v>31.4</v>
      </c>
      <c r="G7" s="46"/>
      <c r="H7" s="46"/>
      <c r="I7" s="61" t="s">
        <v>184</v>
      </c>
      <c r="J7" s="54">
        <f>J8+2.5</f>
        <v>30.9</v>
      </c>
      <c r="K7" s="52">
        <v>3.7</v>
      </c>
      <c r="L7" s="52">
        <v>3.7</v>
      </c>
      <c r="M7" s="53">
        <f>SUM(J7:L7)</f>
        <v>38.300000000000004</v>
      </c>
      <c r="N7" s="46"/>
      <c r="O7" s="46"/>
      <c r="P7" s="46"/>
      <c r="Q7" s="46"/>
      <c r="R7" s="46"/>
    </row>
    <row r="8" spans="2:18" x14ac:dyDescent="0.25">
      <c r="B8" s="50" t="s">
        <v>185</v>
      </c>
      <c r="C8" s="51">
        <v>23.5</v>
      </c>
      <c r="D8" s="52">
        <v>3.2</v>
      </c>
      <c r="E8" s="52">
        <v>3.2</v>
      </c>
      <c r="F8" s="53">
        <f t="shared" ref="F8:F11" si="0">SUM(C8:E8)</f>
        <v>29.9</v>
      </c>
      <c r="G8" s="46"/>
      <c r="H8" s="46"/>
      <c r="I8" s="61" t="s">
        <v>185</v>
      </c>
      <c r="J8" s="54">
        <f>J9+1.5</f>
        <v>28.4</v>
      </c>
      <c r="K8" s="52">
        <v>3.2</v>
      </c>
      <c r="L8" s="52">
        <v>3.2</v>
      </c>
      <c r="M8" s="53">
        <f t="shared" ref="M8:M11" si="1">SUM(J8:L8)</f>
        <v>34.799999999999997</v>
      </c>
      <c r="N8" s="46"/>
      <c r="O8" s="46"/>
      <c r="P8" s="46"/>
      <c r="Q8" s="46"/>
      <c r="R8" s="46"/>
    </row>
    <row r="9" spans="2:18" x14ac:dyDescent="0.25">
      <c r="B9" s="50" t="s">
        <v>186</v>
      </c>
      <c r="C9" s="51">
        <v>23</v>
      </c>
      <c r="D9" s="52">
        <v>3</v>
      </c>
      <c r="E9" s="52">
        <v>3</v>
      </c>
      <c r="F9" s="53">
        <f t="shared" si="0"/>
        <v>29</v>
      </c>
      <c r="G9" s="46"/>
      <c r="H9" s="46"/>
      <c r="I9" s="61" t="s">
        <v>186</v>
      </c>
      <c r="J9" s="54">
        <f>J10+1</f>
        <v>26.9</v>
      </c>
      <c r="K9" s="52">
        <v>3</v>
      </c>
      <c r="L9" s="52">
        <v>3</v>
      </c>
      <c r="M9" s="53">
        <f t="shared" si="1"/>
        <v>32.9</v>
      </c>
      <c r="N9" s="46"/>
      <c r="O9" s="46"/>
      <c r="P9" s="46"/>
      <c r="Q9" s="203"/>
      <c r="R9" s="203"/>
    </row>
    <row r="10" spans="2:18" x14ac:dyDescent="0.25">
      <c r="B10" s="50" t="s">
        <v>187</v>
      </c>
      <c r="C10" s="51">
        <v>22.5</v>
      </c>
      <c r="D10" s="52">
        <v>2.7</v>
      </c>
      <c r="E10" s="52">
        <v>2.7</v>
      </c>
      <c r="F10" s="53">
        <f t="shared" si="0"/>
        <v>27.9</v>
      </c>
      <c r="G10" s="46"/>
      <c r="H10" s="46"/>
      <c r="I10" s="61" t="s">
        <v>187</v>
      </c>
      <c r="J10" s="54">
        <f>J11+0.9</f>
        <v>25.9</v>
      </c>
      <c r="K10" s="52">
        <v>2.7</v>
      </c>
      <c r="L10" s="52">
        <v>2.7</v>
      </c>
      <c r="M10" s="53">
        <f t="shared" si="1"/>
        <v>31.299999999999997</v>
      </c>
      <c r="N10" s="46"/>
      <c r="O10" s="46"/>
      <c r="P10" s="46"/>
      <c r="Q10" s="203"/>
      <c r="R10" s="203"/>
    </row>
    <row r="11" spans="2:18" x14ac:dyDescent="0.25">
      <c r="B11" s="50" t="s">
        <v>188</v>
      </c>
      <c r="C11" s="51">
        <v>22</v>
      </c>
      <c r="D11" s="52">
        <v>2</v>
      </c>
      <c r="E11" s="52">
        <v>2</v>
      </c>
      <c r="F11" s="53">
        <f t="shared" si="0"/>
        <v>26</v>
      </c>
      <c r="G11" s="46"/>
      <c r="H11" s="46"/>
      <c r="I11" s="61" t="s">
        <v>188</v>
      </c>
      <c r="J11" s="54">
        <v>25</v>
      </c>
      <c r="K11" s="52">
        <v>2</v>
      </c>
      <c r="L11" s="52">
        <v>2</v>
      </c>
      <c r="M11" s="53">
        <f t="shared" si="1"/>
        <v>29</v>
      </c>
      <c r="N11" s="46"/>
      <c r="O11" s="46"/>
      <c r="P11" s="46"/>
      <c r="Q11" s="203"/>
      <c r="R11" s="203"/>
    </row>
    <row r="12" spans="2:18" x14ac:dyDescent="0.2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203"/>
      <c r="R12" s="203"/>
    </row>
    <row r="13" spans="2:18" x14ac:dyDescent="0.25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203"/>
      <c r="R13" s="203"/>
    </row>
    <row r="14" spans="2:18" x14ac:dyDescent="0.25"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</row>
    <row r="15" spans="2:18" x14ac:dyDescent="0.25">
      <c r="B15" s="46"/>
      <c r="C15" s="218" t="s">
        <v>70</v>
      </c>
      <c r="D15" s="218"/>
      <c r="E15" s="218"/>
      <c r="F15" s="46"/>
      <c r="G15" s="46"/>
      <c r="H15" s="46"/>
      <c r="I15" s="46"/>
      <c r="J15" s="219" t="s">
        <v>202</v>
      </c>
      <c r="K15" s="219"/>
      <c r="L15" s="219"/>
      <c r="M15" s="46"/>
      <c r="N15" s="46"/>
      <c r="O15" s="46"/>
      <c r="P15" s="46"/>
    </row>
    <row r="16" spans="2:18" x14ac:dyDescent="0.25">
      <c r="B16" s="47" t="s">
        <v>66</v>
      </c>
      <c r="C16" s="48" t="s">
        <v>5</v>
      </c>
      <c r="D16" s="43" t="s">
        <v>5</v>
      </c>
      <c r="E16" s="43" t="s">
        <v>5</v>
      </c>
      <c r="F16" s="43" t="s">
        <v>69</v>
      </c>
      <c r="G16" s="46"/>
      <c r="H16" s="46"/>
      <c r="I16" s="78" t="s">
        <v>66</v>
      </c>
      <c r="J16" s="48" t="s">
        <v>5</v>
      </c>
      <c r="K16" s="43" t="s">
        <v>5</v>
      </c>
      <c r="L16" s="43" t="s">
        <v>5</v>
      </c>
      <c r="M16" s="43" t="s">
        <v>69</v>
      </c>
      <c r="N16" s="46"/>
      <c r="O16" s="46"/>
      <c r="P16" s="46"/>
    </row>
    <row r="17" spans="2:16" x14ac:dyDescent="0.25">
      <c r="B17" s="47"/>
      <c r="C17" s="13" t="s">
        <v>67</v>
      </c>
      <c r="D17" s="49" t="s">
        <v>71</v>
      </c>
      <c r="E17" s="49" t="s">
        <v>68</v>
      </c>
      <c r="F17" s="43"/>
      <c r="G17" s="46"/>
      <c r="H17" s="46"/>
      <c r="I17" s="78"/>
      <c r="J17" s="13" t="s">
        <v>67</v>
      </c>
      <c r="K17" s="49" t="s">
        <v>71</v>
      </c>
      <c r="L17" s="49" t="s">
        <v>68</v>
      </c>
      <c r="M17" s="43"/>
      <c r="N17" s="46"/>
      <c r="O17" s="46"/>
      <c r="P17" s="46"/>
    </row>
    <row r="18" spans="2:16" x14ac:dyDescent="0.25">
      <c r="B18" s="50" t="s">
        <v>184</v>
      </c>
      <c r="C18" s="51">
        <v>24</v>
      </c>
      <c r="D18" s="52">
        <f>+E18/2</f>
        <v>1.85</v>
      </c>
      <c r="E18" s="52">
        <v>3.7</v>
      </c>
      <c r="F18" s="53">
        <f>SUM(C18:E18)</f>
        <v>29.55</v>
      </c>
      <c r="G18" s="46"/>
      <c r="H18" s="46"/>
      <c r="I18" s="61" t="s">
        <v>184</v>
      </c>
      <c r="J18" s="54">
        <f>J19+2.5</f>
        <v>30.9</v>
      </c>
      <c r="K18" s="52">
        <f>+L18/2</f>
        <v>1.85</v>
      </c>
      <c r="L18" s="52">
        <v>3.7</v>
      </c>
      <c r="M18" s="53">
        <f>SUM(J18:L18)</f>
        <v>36.450000000000003</v>
      </c>
      <c r="N18" s="46"/>
      <c r="O18" s="46"/>
      <c r="P18" s="46"/>
    </row>
    <row r="19" spans="2:16" x14ac:dyDescent="0.25">
      <c r="B19" s="50" t="s">
        <v>185</v>
      </c>
      <c r="C19" s="51">
        <v>23.5</v>
      </c>
      <c r="D19" s="52">
        <f t="shared" ref="D19:D21" si="2">+E19/2</f>
        <v>1.6</v>
      </c>
      <c r="E19" s="52">
        <v>3.2</v>
      </c>
      <c r="F19" s="53">
        <f t="shared" ref="F19:F22" si="3">SUM(C19:E19)</f>
        <v>28.3</v>
      </c>
      <c r="G19" s="46"/>
      <c r="H19" s="46"/>
      <c r="I19" s="61" t="s">
        <v>185</v>
      </c>
      <c r="J19" s="54">
        <f>J20+1.5</f>
        <v>28.4</v>
      </c>
      <c r="K19" s="52">
        <f t="shared" ref="K19:K21" si="4">+L19/2</f>
        <v>1.6</v>
      </c>
      <c r="L19" s="52">
        <v>3.2</v>
      </c>
      <c r="M19" s="53">
        <f t="shared" ref="M19:M22" si="5">SUM(J19:L19)</f>
        <v>33.200000000000003</v>
      </c>
      <c r="N19" s="46"/>
      <c r="O19" s="46"/>
      <c r="P19" s="46"/>
    </row>
    <row r="20" spans="2:16" x14ac:dyDescent="0.25">
      <c r="B20" s="50" t="s">
        <v>186</v>
      </c>
      <c r="C20" s="51">
        <v>23</v>
      </c>
      <c r="D20" s="52">
        <f t="shared" si="2"/>
        <v>1.5</v>
      </c>
      <c r="E20" s="52">
        <v>3</v>
      </c>
      <c r="F20" s="53">
        <f t="shared" si="3"/>
        <v>27.5</v>
      </c>
      <c r="G20" s="46"/>
      <c r="H20" s="46"/>
      <c r="I20" s="61" t="s">
        <v>186</v>
      </c>
      <c r="J20" s="54">
        <f>J21+1</f>
        <v>26.9</v>
      </c>
      <c r="K20" s="52">
        <f t="shared" si="4"/>
        <v>1.5</v>
      </c>
      <c r="L20" s="52">
        <v>3</v>
      </c>
      <c r="M20" s="53">
        <f t="shared" si="5"/>
        <v>31.4</v>
      </c>
      <c r="N20" s="46"/>
      <c r="O20" s="46"/>
      <c r="P20" s="46"/>
    </row>
    <row r="21" spans="2:16" x14ac:dyDescent="0.25">
      <c r="B21" s="50" t="s">
        <v>187</v>
      </c>
      <c r="C21" s="51">
        <v>22.5</v>
      </c>
      <c r="D21" s="52">
        <f t="shared" si="2"/>
        <v>1.35</v>
      </c>
      <c r="E21" s="52">
        <v>2.7</v>
      </c>
      <c r="F21" s="53">
        <f t="shared" si="3"/>
        <v>26.55</v>
      </c>
      <c r="G21" s="46"/>
      <c r="H21" s="46"/>
      <c r="I21" s="61" t="s">
        <v>187</v>
      </c>
      <c r="J21" s="54">
        <f>J22+0.9</f>
        <v>25.9</v>
      </c>
      <c r="K21" s="52">
        <f t="shared" si="4"/>
        <v>1.35</v>
      </c>
      <c r="L21" s="52">
        <v>2.7</v>
      </c>
      <c r="M21" s="53">
        <f t="shared" si="5"/>
        <v>29.95</v>
      </c>
      <c r="N21" s="46"/>
      <c r="O21" s="46"/>
      <c r="P21" s="46"/>
    </row>
    <row r="22" spans="2:16" x14ac:dyDescent="0.25">
      <c r="B22" s="50" t="s">
        <v>188</v>
      </c>
      <c r="C22" s="51">
        <v>22</v>
      </c>
      <c r="D22" s="52">
        <f>+E22/2</f>
        <v>1</v>
      </c>
      <c r="E22" s="52">
        <v>2</v>
      </c>
      <c r="F22" s="53">
        <f t="shared" si="3"/>
        <v>25</v>
      </c>
      <c r="G22" s="46"/>
      <c r="H22" s="46"/>
      <c r="I22" s="61" t="s">
        <v>188</v>
      </c>
      <c r="J22" s="54">
        <v>25</v>
      </c>
      <c r="K22" s="52">
        <f>+L22/2</f>
        <v>1</v>
      </c>
      <c r="L22" s="52">
        <v>2</v>
      </c>
      <c r="M22" s="53">
        <f t="shared" si="5"/>
        <v>28</v>
      </c>
      <c r="N22" s="46"/>
      <c r="O22" s="46"/>
      <c r="P22" s="46"/>
    </row>
    <row r="23" spans="2:16" x14ac:dyDescent="0.25"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2:16" x14ac:dyDescent="0.25"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</row>
    <row r="25" spans="2:16" x14ac:dyDescent="0.25">
      <c r="B25" s="55" t="s">
        <v>72</v>
      </c>
      <c r="C25" s="46"/>
      <c r="D25" s="46"/>
      <c r="E25" s="46"/>
      <c r="F25" s="56">
        <v>40</v>
      </c>
      <c r="G25" s="46"/>
      <c r="H25" s="46"/>
      <c r="I25" s="46"/>
      <c r="J25" s="46"/>
      <c r="K25" s="46"/>
      <c r="L25" s="46"/>
      <c r="M25" s="46"/>
      <c r="N25" s="46"/>
      <c r="O25" s="46"/>
      <c r="P25" s="46"/>
    </row>
    <row r="26" spans="2:16" x14ac:dyDescent="0.25">
      <c r="B26" s="55" t="s">
        <v>73</v>
      </c>
      <c r="C26" s="46"/>
      <c r="D26" s="46"/>
      <c r="E26" s="46"/>
      <c r="F26" s="56">
        <v>45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</row>
  </sheetData>
  <mergeCells count="5">
    <mergeCell ref="B2:P2"/>
    <mergeCell ref="J4:L4"/>
    <mergeCell ref="J15:L15"/>
    <mergeCell ref="C4:E4"/>
    <mergeCell ref="C15:E1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47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5" sqref="D15"/>
    </sheetView>
  </sheetViews>
  <sheetFormatPr defaultRowHeight="15" outlineLevelCol="1" x14ac:dyDescent="0.25"/>
  <cols>
    <col min="1" max="1" width="2.7109375" customWidth="1"/>
    <col min="2" max="2" width="35.140625" bestFit="1" customWidth="1"/>
    <col min="3" max="3" width="10.140625" customWidth="1"/>
    <col min="4" max="6" width="12.28515625" customWidth="1"/>
    <col min="7" max="7" width="2.7109375" customWidth="1"/>
    <col min="8" max="11" width="10.5703125" hidden="1" customWidth="1" outlineLevel="1"/>
    <col min="12" max="12" width="2.7109375" customWidth="1" collapsed="1"/>
    <col min="13" max="13" width="31.85546875" bestFit="1" customWidth="1"/>
    <col min="14" max="16" width="13.7109375" customWidth="1"/>
    <col min="18" max="18" width="12.5703125" hidden="1" customWidth="1" outlineLevel="1"/>
    <col min="19" max="20" width="9.5703125" hidden="1" customWidth="1" outlineLevel="1"/>
    <col min="21" max="21" width="9.140625" collapsed="1"/>
  </cols>
  <sheetData>
    <row r="2" spans="2:22" ht="21" x14ac:dyDescent="0.35">
      <c r="B2" s="214" t="s">
        <v>97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4" spans="2:22" ht="15.75" thickBot="1" x14ac:dyDescent="0.3">
      <c r="H4" s="10" t="s">
        <v>96</v>
      </c>
      <c r="I4" s="11"/>
      <c r="J4" s="12">
        <v>7.0000000000000007E-2</v>
      </c>
      <c r="K4" s="11"/>
      <c r="N4" s="13"/>
      <c r="O4" s="13"/>
      <c r="P4" s="13"/>
      <c r="R4" s="3" t="s">
        <v>96</v>
      </c>
      <c r="T4" s="9">
        <v>7.0000000000000007E-2</v>
      </c>
    </row>
    <row r="5" spans="2:22" ht="15.75" thickBot="1" x14ac:dyDescent="0.3">
      <c r="B5" s="91" t="s">
        <v>329</v>
      </c>
      <c r="C5" s="193"/>
      <c r="D5" s="196" t="s">
        <v>109</v>
      </c>
      <c r="E5" s="194"/>
      <c r="F5" s="195"/>
      <c r="G5" s="46"/>
      <c r="H5" s="92" t="s">
        <v>92</v>
      </c>
      <c r="I5" s="93" t="s">
        <v>93</v>
      </c>
      <c r="J5" s="94" t="s">
        <v>94</v>
      </c>
      <c r="K5" s="95" t="s">
        <v>95</v>
      </c>
      <c r="L5" s="46"/>
      <c r="M5" s="96" t="s">
        <v>97</v>
      </c>
      <c r="N5" s="97" t="s">
        <v>100</v>
      </c>
      <c r="O5" s="98" t="s">
        <v>180</v>
      </c>
      <c r="P5" s="96" t="s">
        <v>102</v>
      </c>
      <c r="Q5" s="46"/>
      <c r="R5" s="97" t="s">
        <v>100</v>
      </c>
      <c r="S5" s="98" t="s">
        <v>101</v>
      </c>
      <c r="T5" s="96" t="s">
        <v>102</v>
      </c>
      <c r="U5" s="46"/>
    </row>
    <row r="6" spans="2:22" x14ac:dyDescent="0.25">
      <c r="B6" s="99" t="s">
        <v>74</v>
      </c>
      <c r="C6" s="100"/>
      <c r="D6" s="101">
        <v>84</v>
      </c>
      <c r="E6" s="101"/>
      <c r="F6" s="100"/>
      <c r="G6" s="46"/>
      <c r="H6" s="102">
        <v>61</v>
      </c>
      <c r="I6" s="103">
        <v>67</v>
      </c>
      <c r="J6" s="103">
        <v>74</v>
      </c>
      <c r="K6" s="102">
        <v>78</v>
      </c>
      <c r="L6" s="46"/>
      <c r="M6" s="104" t="s">
        <v>98</v>
      </c>
      <c r="N6" s="105">
        <v>87</v>
      </c>
      <c r="O6" s="106">
        <v>92</v>
      </c>
      <c r="P6" s="107">
        <f>+O6+4</f>
        <v>96</v>
      </c>
      <c r="Q6" s="46"/>
      <c r="R6" s="108">
        <v>48.5</v>
      </c>
      <c r="S6" s="109">
        <v>54</v>
      </c>
      <c r="T6" s="110">
        <v>56</v>
      </c>
      <c r="U6" s="46"/>
    </row>
    <row r="7" spans="2:22" x14ac:dyDescent="0.25">
      <c r="B7" s="111" t="s">
        <v>75</v>
      </c>
      <c r="C7" s="112"/>
      <c r="D7" s="113">
        <v>102</v>
      </c>
      <c r="E7" s="113"/>
      <c r="F7" s="112"/>
      <c r="G7" s="46"/>
      <c r="H7" s="114">
        <f>+H6+12</f>
        <v>73</v>
      </c>
      <c r="I7" s="115">
        <v>82</v>
      </c>
      <c r="J7" s="115">
        <v>89</v>
      </c>
      <c r="K7" s="114">
        <v>95</v>
      </c>
      <c r="L7" s="46"/>
      <c r="M7" s="104" t="s">
        <v>99</v>
      </c>
      <c r="N7" s="105">
        <v>101</v>
      </c>
      <c r="O7" s="106">
        <v>112</v>
      </c>
      <c r="P7" s="107">
        <f>+O7+4</f>
        <v>116</v>
      </c>
      <c r="Q7" s="46"/>
      <c r="R7" s="116">
        <f>R6+7</f>
        <v>55.5</v>
      </c>
      <c r="S7" s="117">
        <f>S6+7</f>
        <v>61</v>
      </c>
      <c r="T7" s="81">
        <f>T6+7</f>
        <v>63</v>
      </c>
      <c r="U7" s="46"/>
    </row>
    <row r="8" spans="2:22" ht="15.75" x14ac:dyDescent="0.25">
      <c r="B8" s="99" t="s">
        <v>76</v>
      </c>
      <c r="C8" s="118"/>
      <c r="D8" s="119">
        <v>105</v>
      </c>
      <c r="E8" s="119"/>
      <c r="F8" s="118"/>
      <c r="G8" s="46"/>
      <c r="H8" s="102">
        <v>78</v>
      </c>
      <c r="I8" s="103">
        <v>83</v>
      </c>
      <c r="J8" s="103">
        <v>91</v>
      </c>
      <c r="K8" s="102">
        <v>96</v>
      </c>
      <c r="L8" s="46"/>
      <c r="M8" s="104" t="s">
        <v>321</v>
      </c>
      <c r="N8" s="105">
        <v>94</v>
      </c>
      <c r="O8" s="106">
        <v>99</v>
      </c>
      <c r="P8" s="107">
        <f>+O8+4</f>
        <v>103</v>
      </c>
      <c r="Q8" s="46"/>
      <c r="R8" s="116">
        <v>57.5</v>
      </c>
      <c r="S8" s="117">
        <v>63</v>
      </c>
      <c r="T8" s="81">
        <v>65</v>
      </c>
      <c r="U8" s="46"/>
    </row>
    <row r="9" spans="2:22" ht="18.75" x14ac:dyDescent="0.25">
      <c r="B9" s="111" t="s">
        <v>77</v>
      </c>
      <c r="C9" s="112"/>
      <c r="D9" s="113">
        <v>120</v>
      </c>
      <c r="E9" s="113"/>
      <c r="F9" s="112"/>
      <c r="G9" s="46"/>
      <c r="H9" s="114">
        <v>87</v>
      </c>
      <c r="I9" s="115">
        <v>96</v>
      </c>
      <c r="J9" s="115">
        <v>106</v>
      </c>
      <c r="K9" s="114">
        <v>112</v>
      </c>
      <c r="L9" s="46"/>
      <c r="M9" s="104" t="s">
        <v>322</v>
      </c>
      <c r="N9" s="105">
        <f>94+7</f>
        <v>101</v>
      </c>
      <c r="O9" s="106">
        <f>99+7</f>
        <v>106</v>
      </c>
      <c r="P9" s="107">
        <f>103+7</f>
        <v>110</v>
      </c>
      <c r="Q9" s="46"/>
      <c r="R9" s="116"/>
      <c r="S9" s="117"/>
      <c r="T9" s="81"/>
      <c r="U9" s="46"/>
      <c r="V9" s="197"/>
    </row>
    <row r="10" spans="2:22" ht="15.75" x14ac:dyDescent="0.25">
      <c r="B10" s="99" t="s">
        <v>325</v>
      </c>
      <c r="C10" s="118"/>
      <c r="D10" s="119">
        <v>87</v>
      </c>
      <c r="E10" s="119"/>
      <c r="F10" s="118"/>
      <c r="G10" s="46"/>
      <c r="H10" s="81">
        <v>47</v>
      </c>
      <c r="I10" s="117">
        <v>47</v>
      </c>
      <c r="J10" s="117">
        <v>47</v>
      </c>
      <c r="K10" s="81">
        <v>47</v>
      </c>
      <c r="L10" s="46"/>
      <c r="M10" s="104" t="s">
        <v>323</v>
      </c>
      <c r="N10" s="105">
        <v>111</v>
      </c>
      <c r="O10" s="106">
        <v>119</v>
      </c>
      <c r="P10" s="107">
        <v>123</v>
      </c>
      <c r="Q10" s="46"/>
      <c r="R10" s="116"/>
      <c r="S10" s="117"/>
      <c r="T10" s="81"/>
      <c r="U10" s="46"/>
    </row>
    <row r="11" spans="2:22" ht="18.75" x14ac:dyDescent="0.25">
      <c r="B11" s="111" t="s">
        <v>326</v>
      </c>
      <c r="C11" s="112"/>
      <c r="D11" s="113">
        <v>101</v>
      </c>
      <c r="E11" s="113"/>
      <c r="F11" s="112"/>
      <c r="G11" s="46"/>
      <c r="H11" s="114">
        <f>H10+7</f>
        <v>54</v>
      </c>
      <c r="I11" s="115">
        <f>I10+7</f>
        <v>54</v>
      </c>
      <c r="J11" s="115">
        <f>J10+7</f>
        <v>54</v>
      </c>
      <c r="K11" s="114">
        <f>K10+7</f>
        <v>54</v>
      </c>
      <c r="L11" s="46"/>
      <c r="M11" s="104" t="s">
        <v>324</v>
      </c>
      <c r="N11" s="105">
        <f>111+7</f>
        <v>118</v>
      </c>
      <c r="O11" s="106">
        <f>119+7</f>
        <v>126</v>
      </c>
      <c r="P11" s="107">
        <f>123+7</f>
        <v>130</v>
      </c>
      <c r="Q11" s="46"/>
      <c r="R11" s="116">
        <f>R10+7</f>
        <v>7</v>
      </c>
      <c r="S11" s="117">
        <f>S10+7</f>
        <v>7</v>
      </c>
      <c r="T11" s="81">
        <f>T10+7</f>
        <v>7</v>
      </c>
      <c r="U11" s="46"/>
    </row>
    <row r="12" spans="2:22" x14ac:dyDescent="0.25">
      <c r="B12" s="99" t="s">
        <v>327</v>
      </c>
      <c r="C12" s="118"/>
      <c r="D12" s="119">
        <v>80</v>
      </c>
      <c r="E12" s="119"/>
      <c r="F12" s="118"/>
      <c r="G12" s="46"/>
      <c r="H12" s="102">
        <v>52</v>
      </c>
      <c r="I12" s="103">
        <v>57</v>
      </c>
      <c r="J12" s="103">
        <v>64</v>
      </c>
      <c r="K12" s="102">
        <v>67</v>
      </c>
      <c r="L12" s="46"/>
      <c r="M12" s="104" t="s">
        <v>104</v>
      </c>
      <c r="N12" s="198">
        <v>87</v>
      </c>
      <c r="O12" s="199"/>
      <c r="Q12" s="46"/>
      <c r="R12" s="56">
        <v>60</v>
      </c>
      <c r="S12" s="46"/>
      <c r="T12" s="46"/>
      <c r="U12" s="46"/>
    </row>
    <row r="13" spans="2:22" x14ac:dyDescent="0.25">
      <c r="B13" s="111" t="s">
        <v>328</v>
      </c>
      <c r="C13" s="112"/>
      <c r="D13" s="113">
        <v>94</v>
      </c>
      <c r="E13" s="113"/>
      <c r="F13" s="112"/>
      <c r="G13" s="46"/>
      <c r="H13" s="114">
        <v>58</v>
      </c>
      <c r="I13" s="115">
        <v>64</v>
      </c>
      <c r="J13" s="115">
        <v>71</v>
      </c>
      <c r="K13" s="114">
        <v>75</v>
      </c>
      <c r="L13" s="46"/>
      <c r="M13" s="104" t="s">
        <v>105</v>
      </c>
      <c r="N13" s="198">
        <v>87</v>
      </c>
      <c r="O13" s="106"/>
      <c r="P13" s="107"/>
      <c r="Q13" s="46"/>
      <c r="R13" s="56">
        <v>60</v>
      </c>
      <c r="S13" s="46"/>
      <c r="T13" s="46"/>
      <c r="U13" s="46">
        <v>92</v>
      </c>
    </row>
    <row r="14" spans="2:22" x14ac:dyDescent="0.25">
      <c r="B14" s="99" t="s">
        <v>78</v>
      </c>
      <c r="C14" s="118"/>
      <c r="D14" s="119">
        <v>72</v>
      </c>
      <c r="E14" s="119"/>
      <c r="F14" s="118"/>
      <c r="G14" s="46"/>
      <c r="H14" s="114">
        <f>58+10</f>
        <v>68</v>
      </c>
      <c r="I14" s="115">
        <f>64+10</f>
        <v>74</v>
      </c>
      <c r="J14" s="115">
        <f>71+10</f>
        <v>81</v>
      </c>
      <c r="K14" s="114">
        <f>75+10</f>
        <v>85</v>
      </c>
      <c r="L14" s="46"/>
      <c r="M14" s="104" t="s">
        <v>103</v>
      </c>
      <c r="N14" s="198">
        <v>87</v>
      </c>
      <c r="O14" s="200"/>
      <c r="P14" s="121"/>
      <c r="Q14" s="46"/>
      <c r="R14" s="56">
        <v>60</v>
      </c>
      <c r="S14" s="46"/>
      <c r="T14" s="46"/>
      <c r="U14" s="46">
        <v>10.7</v>
      </c>
    </row>
    <row r="15" spans="2:22" x14ac:dyDescent="0.25">
      <c r="B15" s="111" t="s">
        <v>79</v>
      </c>
      <c r="C15" s="112"/>
      <c r="D15" s="113">
        <v>81</v>
      </c>
      <c r="E15" s="113"/>
      <c r="F15" s="112"/>
      <c r="G15" s="46"/>
      <c r="H15" s="102">
        <v>70</v>
      </c>
      <c r="I15" s="103">
        <v>76</v>
      </c>
      <c r="J15" s="103">
        <v>82</v>
      </c>
      <c r="K15" s="102">
        <v>87</v>
      </c>
      <c r="L15" s="46"/>
      <c r="M15" s="104" t="s">
        <v>108</v>
      </c>
      <c r="N15" s="198">
        <v>87</v>
      </c>
      <c r="O15" s="200"/>
      <c r="P15" s="121"/>
      <c r="Q15" s="46"/>
      <c r="R15" s="56">
        <v>60</v>
      </c>
      <c r="S15" s="46"/>
      <c r="T15" s="46"/>
      <c r="U15" s="46"/>
    </row>
    <row r="16" spans="2:22" x14ac:dyDescent="0.25">
      <c r="B16" s="111" t="s">
        <v>167</v>
      </c>
      <c r="C16" s="112"/>
      <c r="D16" s="113">
        <v>91</v>
      </c>
      <c r="E16" s="113"/>
      <c r="F16" s="112"/>
      <c r="G16" s="46"/>
      <c r="H16" s="114">
        <v>70</v>
      </c>
      <c r="I16" s="115">
        <v>76</v>
      </c>
      <c r="J16" s="115">
        <v>82</v>
      </c>
      <c r="K16" s="114">
        <v>87</v>
      </c>
      <c r="L16" s="46"/>
      <c r="M16" s="104" t="s">
        <v>106</v>
      </c>
      <c r="N16" s="198">
        <v>150</v>
      </c>
      <c r="O16" s="200"/>
      <c r="P16" s="121"/>
      <c r="Q16" s="46"/>
      <c r="R16" s="56"/>
      <c r="S16" s="46"/>
      <c r="T16" s="46"/>
      <c r="U16" s="46"/>
    </row>
    <row r="17" spans="2:21" x14ac:dyDescent="0.25">
      <c r="B17" s="99" t="s">
        <v>80</v>
      </c>
      <c r="C17" s="118"/>
      <c r="D17" s="119">
        <v>93</v>
      </c>
      <c r="E17" s="119"/>
      <c r="F17" s="118"/>
      <c r="G17" s="46"/>
      <c r="H17" s="81">
        <f t="shared" ref="H17:K17" si="0">+H12-7</f>
        <v>45</v>
      </c>
      <c r="I17" s="117">
        <f t="shared" si="0"/>
        <v>50</v>
      </c>
      <c r="J17" s="117">
        <f t="shared" si="0"/>
        <v>57</v>
      </c>
      <c r="K17" s="81">
        <f t="shared" si="0"/>
        <v>60</v>
      </c>
      <c r="L17" s="46"/>
      <c r="M17" s="104" t="s">
        <v>107</v>
      </c>
      <c r="N17" s="198">
        <v>170</v>
      </c>
      <c r="O17" s="200"/>
      <c r="P17" s="121"/>
      <c r="Q17" s="46"/>
      <c r="R17" s="56"/>
      <c r="S17" s="46"/>
      <c r="T17" s="46"/>
      <c r="U17" s="46"/>
    </row>
    <row r="18" spans="2:21" x14ac:dyDescent="0.25">
      <c r="B18" s="111" t="s">
        <v>81</v>
      </c>
      <c r="C18" s="112"/>
      <c r="D18" s="113">
        <v>95</v>
      </c>
      <c r="E18" s="113"/>
      <c r="F18" s="112"/>
      <c r="G18" s="46"/>
      <c r="H18" s="114">
        <f t="shared" ref="H18:K18" si="1">+H13-7</f>
        <v>51</v>
      </c>
      <c r="I18" s="115">
        <f t="shared" si="1"/>
        <v>57</v>
      </c>
      <c r="J18" s="115">
        <f t="shared" si="1"/>
        <v>64</v>
      </c>
      <c r="K18" s="114">
        <f t="shared" si="1"/>
        <v>68</v>
      </c>
      <c r="L18" s="46"/>
      <c r="O18" s="121"/>
      <c r="P18" s="121"/>
      <c r="Q18" s="46"/>
      <c r="R18" s="46"/>
      <c r="S18" s="46"/>
      <c r="T18" s="46"/>
      <c r="U18" s="46"/>
    </row>
    <row r="19" spans="2:21" x14ac:dyDescent="0.25">
      <c r="B19" s="99" t="s">
        <v>82</v>
      </c>
      <c r="C19" s="118"/>
      <c r="D19" s="119">
        <v>65</v>
      </c>
      <c r="E19" s="119"/>
      <c r="F19" s="118"/>
      <c r="G19" s="46"/>
      <c r="H19" s="122">
        <f>+H21-7</f>
        <v>103</v>
      </c>
      <c r="I19" s="123">
        <f>+I21-7</f>
        <v>116</v>
      </c>
      <c r="J19" s="123">
        <f>+J21-7</f>
        <v>130</v>
      </c>
      <c r="K19" s="122">
        <f>+K21-7</f>
        <v>138</v>
      </c>
      <c r="L19" s="46"/>
      <c r="O19" s="121"/>
      <c r="P19" s="121"/>
      <c r="Q19" s="46"/>
      <c r="R19" s="46"/>
      <c r="S19" s="46"/>
      <c r="T19" s="46"/>
      <c r="U19" s="201"/>
    </row>
    <row r="20" spans="2:21" x14ac:dyDescent="0.25">
      <c r="B20" s="111" t="s">
        <v>83</v>
      </c>
      <c r="C20" s="112"/>
      <c r="D20" s="113">
        <v>73</v>
      </c>
      <c r="E20" s="113"/>
      <c r="F20" s="112"/>
      <c r="G20" s="46"/>
      <c r="H20" s="124">
        <f>+H19+14</f>
        <v>117</v>
      </c>
      <c r="I20" s="125">
        <f>+I19+14</f>
        <v>130</v>
      </c>
      <c r="J20" s="125">
        <f>+J19+14</f>
        <v>144</v>
      </c>
      <c r="K20" s="124">
        <f>+K19+14</f>
        <v>152</v>
      </c>
      <c r="L20" s="46"/>
      <c r="M20" s="46"/>
      <c r="N20" s="46"/>
      <c r="O20" s="46"/>
      <c r="P20" s="46"/>
      <c r="Q20" s="46"/>
      <c r="R20" s="46"/>
      <c r="S20" s="46"/>
      <c r="T20" s="46"/>
      <c r="U20" s="46"/>
    </row>
    <row r="21" spans="2:21" x14ac:dyDescent="0.25">
      <c r="B21" s="99" t="s">
        <v>84</v>
      </c>
      <c r="C21" s="118"/>
      <c r="D21" s="119">
        <v>260</v>
      </c>
      <c r="E21" s="119"/>
      <c r="F21" s="118"/>
      <c r="G21" s="46"/>
      <c r="H21" s="122">
        <v>110</v>
      </c>
      <c r="I21" s="123">
        <v>123</v>
      </c>
      <c r="J21" s="123">
        <v>137</v>
      </c>
      <c r="K21" s="122">
        <v>145</v>
      </c>
      <c r="L21" s="46"/>
      <c r="M21" s="96" t="s">
        <v>216</v>
      </c>
      <c r="N21" s="97" t="s">
        <v>217</v>
      </c>
      <c r="O21" s="46"/>
      <c r="P21" s="46"/>
      <c r="Q21" s="46"/>
      <c r="R21" s="46"/>
      <c r="S21" s="46"/>
      <c r="T21" s="46"/>
      <c r="U21" s="202"/>
    </row>
    <row r="22" spans="2:21" x14ac:dyDescent="0.25">
      <c r="B22" s="111" t="s">
        <v>85</v>
      </c>
      <c r="C22" s="112"/>
      <c r="D22" s="113">
        <v>280</v>
      </c>
      <c r="E22" s="113"/>
      <c r="F22" s="112"/>
      <c r="G22" s="46"/>
      <c r="H22" s="124">
        <f>+H21+14</f>
        <v>124</v>
      </c>
      <c r="I22" s="125">
        <f>+I21+14</f>
        <v>137</v>
      </c>
      <c r="J22" s="125">
        <f>+J21+14</f>
        <v>151</v>
      </c>
      <c r="K22" s="124">
        <f>+K21+14</f>
        <v>159</v>
      </c>
      <c r="L22" s="46"/>
      <c r="M22" s="46" t="s">
        <v>218</v>
      </c>
      <c r="N22" s="56">
        <v>55</v>
      </c>
      <c r="O22" s="46"/>
      <c r="P22" s="46"/>
      <c r="Q22" s="46"/>
      <c r="R22" s="46"/>
      <c r="S22" s="46"/>
      <c r="T22" s="46"/>
      <c r="U22" s="46"/>
    </row>
    <row r="23" spans="2:21" x14ac:dyDescent="0.25">
      <c r="B23" s="99" t="s">
        <v>86</v>
      </c>
      <c r="C23" s="118"/>
      <c r="D23" s="119">
        <v>290</v>
      </c>
      <c r="E23" s="119"/>
      <c r="F23" s="118"/>
      <c r="G23" s="46"/>
      <c r="H23" s="127">
        <v>55</v>
      </c>
      <c r="I23" s="128">
        <v>65</v>
      </c>
      <c r="J23" s="128">
        <v>70</v>
      </c>
      <c r="K23" s="127">
        <v>75</v>
      </c>
      <c r="L23" s="46"/>
      <c r="M23" s="46" t="s">
        <v>219</v>
      </c>
      <c r="N23" s="56">
        <v>65</v>
      </c>
      <c r="O23" s="46"/>
      <c r="P23" s="46"/>
      <c r="Q23" s="46"/>
      <c r="R23" s="46"/>
      <c r="S23" s="46"/>
      <c r="T23" s="46"/>
      <c r="U23" s="46"/>
    </row>
    <row r="24" spans="2:21" x14ac:dyDescent="0.25">
      <c r="B24" s="111" t="s">
        <v>87</v>
      </c>
      <c r="C24" s="112"/>
      <c r="D24" s="113">
        <v>310</v>
      </c>
      <c r="E24" s="113"/>
      <c r="F24" s="112"/>
      <c r="G24" s="46"/>
      <c r="H24" s="130">
        <f>+H23+7</f>
        <v>62</v>
      </c>
      <c r="I24" s="131">
        <f>+I23+7</f>
        <v>72</v>
      </c>
      <c r="J24" s="131">
        <f>+J23+7</f>
        <v>77</v>
      </c>
      <c r="K24" s="130">
        <f>+K23+7</f>
        <v>82</v>
      </c>
      <c r="L24" s="46"/>
      <c r="M24" s="46"/>
      <c r="N24" s="46"/>
      <c r="O24" s="46"/>
      <c r="P24" s="46"/>
      <c r="Q24" s="46"/>
      <c r="R24" s="46"/>
      <c r="S24" s="46"/>
      <c r="T24" s="46"/>
      <c r="U24" s="46"/>
    </row>
    <row r="25" spans="2:21" x14ac:dyDescent="0.25">
      <c r="B25" s="99" t="s">
        <v>344</v>
      </c>
      <c r="D25" s="119">
        <v>500</v>
      </c>
      <c r="G25" s="46"/>
      <c r="H25" s="122">
        <v>43</v>
      </c>
      <c r="I25" s="123">
        <v>48</v>
      </c>
      <c r="J25" s="123">
        <v>54</v>
      </c>
      <c r="K25" s="122">
        <v>57</v>
      </c>
      <c r="L25" s="46"/>
      <c r="M25" s="46"/>
      <c r="N25" s="46"/>
      <c r="O25" s="46"/>
      <c r="P25" s="46"/>
      <c r="Q25" s="46"/>
      <c r="R25" s="46"/>
      <c r="S25" s="46"/>
      <c r="T25" s="46"/>
      <c r="U25" s="46"/>
    </row>
    <row r="26" spans="2:21" x14ac:dyDescent="0.25">
      <c r="B26" s="126" t="s">
        <v>88</v>
      </c>
      <c r="C26" s="118"/>
      <c r="D26" s="119">
        <v>80</v>
      </c>
      <c r="E26" s="119"/>
      <c r="F26" s="118"/>
      <c r="G26" s="46"/>
      <c r="H26" s="124">
        <v>29</v>
      </c>
      <c r="I26" s="125">
        <v>32</v>
      </c>
      <c r="J26" s="125">
        <v>35</v>
      </c>
      <c r="K26" s="124">
        <v>37</v>
      </c>
      <c r="L26" s="46"/>
      <c r="M26" s="46"/>
      <c r="N26" s="46"/>
      <c r="O26" s="46"/>
      <c r="P26" s="46"/>
      <c r="Q26" s="46"/>
      <c r="R26" s="46"/>
      <c r="S26" s="46"/>
      <c r="T26" s="46"/>
      <c r="U26" s="46"/>
    </row>
    <row r="27" spans="2:21" x14ac:dyDescent="0.25">
      <c r="B27" s="129" t="s">
        <v>89</v>
      </c>
      <c r="C27" s="112"/>
      <c r="D27" s="113">
        <v>90</v>
      </c>
      <c r="E27" s="113"/>
      <c r="F27" s="112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</row>
    <row r="28" spans="2:21" x14ac:dyDescent="0.25">
      <c r="B28" s="99" t="s">
        <v>90</v>
      </c>
      <c r="C28" s="118"/>
      <c r="D28" s="119">
        <v>61</v>
      </c>
      <c r="E28" s="119"/>
      <c r="F28" s="118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</row>
    <row r="29" spans="2:21" x14ac:dyDescent="0.25">
      <c r="B29" s="111" t="s">
        <v>91</v>
      </c>
      <c r="C29" s="112"/>
      <c r="D29" s="113">
        <v>40</v>
      </c>
      <c r="E29" s="113"/>
      <c r="F29" s="112"/>
      <c r="G29" s="46"/>
      <c r="H29" s="132">
        <v>7.0000000000000007E-2</v>
      </c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spans="2:21" x14ac:dyDescent="0.25">
      <c r="B30" s="46"/>
      <c r="C30" s="46"/>
      <c r="D30" s="46"/>
      <c r="E30" s="46"/>
      <c r="F30" s="46"/>
      <c r="G30" s="46"/>
      <c r="H30" s="56">
        <v>11.5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2:21" x14ac:dyDescent="0.25">
      <c r="B31" s="96" t="s">
        <v>119</v>
      </c>
      <c r="C31" s="96" t="s">
        <v>109</v>
      </c>
      <c r="D31" s="46"/>
      <c r="E31" s="46"/>
      <c r="F31" s="46"/>
      <c r="G31" s="46"/>
      <c r="H31" s="56">
        <v>12</v>
      </c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spans="2:21" x14ac:dyDescent="0.25">
      <c r="B32" s="46" t="s">
        <v>110</v>
      </c>
      <c r="C32" s="60">
        <v>23</v>
      </c>
      <c r="D32" s="46"/>
      <c r="E32" s="46"/>
      <c r="F32" s="46"/>
      <c r="G32" s="46"/>
      <c r="H32" s="5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</row>
    <row r="33" spans="2:21" x14ac:dyDescent="0.25">
      <c r="B33" s="46" t="s">
        <v>111</v>
      </c>
      <c r="C33" s="60">
        <v>20</v>
      </c>
      <c r="D33" s="46"/>
      <c r="E33" s="46"/>
      <c r="F33" s="46"/>
      <c r="G33" s="46"/>
      <c r="H33" s="56">
        <v>15.5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</row>
    <row r="34" spans="2:21" x14ac:dyDescent="0.25">
      <c r="B34" s="46" t="s">
        <v>320</v>
      </c>
      <c r="C34" s="60">
        <v>26</v>
      </c>
      <c r="D34" s="46"/>
      <c r="E34" s="46"/>
      <c r="F34" s="46"/>
      <c r="G34" s="46"/>
      <c r="H34" s="56">
        <v>26</v>
      </c>
      <c r="I34" s="46"/>
      <c r="J34" s="46"/>
      <c r="K34" s="46"/>
      <c r="L34" s="46"/>
      <c r="M34" s="46"/>
      <c r="N34" s="133"/>
      <c r="O34" s="46"/>
      <c r="P34" s="46"/>
      <c r="Q34" s="46"/>
      <c r="R34" s="46"/>
      <c r="S34" s="46"/>
      <c r="T34" s="46"/>
      <c r="U34" s="46"/>
    </row>
    <row r="35" spans="2:21" x14ac:dyDescent="0.25">
      <c r="B35" s="46" t="s">
        <v>112</v>
      </c>
      <c r="C35" s="60">
        <v>18</v>
      </c>
      <c r="D35" s="46"/>
      <c r="E35" s="46"/>
      <c r="F35" s="46"/>
      <c r="G35" s="46"/>
      <c r="H35" s="56">
        <v>29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2:21" x14ac:dyDescent="0.25">
      <c r="B36" s="46" t="s">
        <v>113</v>
      </c>
      <c r="C36" s="60">
        <v>30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133"/>
      <c r="O36" s="46"/>
      <c r="P36" s="46"/>
      <c r="Q36" s="46"/>
      <c r="R36" s="46"/>
      <c r="S36" s="46"/>
      <c r="T36" s="46"/>
      <c r="U36" s="46"/>
    </row>
    <row r="37" spans="2:21" x14ac:dyDescent="0.25">
      <c r="B37" s="46" t="s">
        <v>114</v>
      </c>
      <c r="C37" s="60">
        <v>35</v>
      </c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2:21" x14ac:dyDescent="0.25">
      <c r="B38" s="46"/>
      <c r="C38" s="46"/>
      <c r="D38" s="46"/>
      <c r="E38" s="46"/>
      <c r="F38" s="46"/>
      <c r="G38" s="46"/>
      <c r="H38" s="132">
        <v>7.0000000000000007E-2</v>
      </c>
      <c r="I38" s="46"/>
      <c r="J38" s="46"/>
      <c r="K38" s="46"/>
      <c r="L38" s="46"/>
      <c r="M38" s="46"/>
      <c r="N38" s="133"/>
      <c r="O38" s="46"/>
      <c r="P38" s="46"/>
      <c r="Q38" s="46"/>
      <c r="R38" s="46"/>
      <c r="S38" s="46"/>
      <c r="T38" s="46"/>
      <c r="U38" s="46"/>
    </row>
    <row r="39" spans="2:21" x14ac:dyDescent="0.25">
      <c r="B39" s="46"/>
      <c r="C39" s="46"/>
      <c r="D39" s="46"/>
      <c r="E39" s="46"/>
      <c r="F39" s="46"/>
      <c r="G39" s="46"/>
      <c r="H39" s="134">
        <v>13</v>
      </c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 spans="2:21" x14ac:dyDescent="0.25">
      <c r="B40" s="96" t="s">
        <v>118</v>
      </c>
      <c r="C40" s="96" t="s">
        <v>109</v>
      </c>
      <c r="D40" s="46"/>
      <c r="E40" s="46"/>
      <c r="F40" s="46"/>
      <c r="G40" s="46"/>
      <c r="H40" s="77">
        <v>18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 spans="2:21" x14ac:dyDescent="0.25">
      <c r="B41" s="46" t="s">
        <v>317</v>
      </c>
      <c r="C41" s="60">
        <v>22.5</v>
      </c>
      <c r="D41" s="46"/>
      <c r="E41" s="46"/>
      <c r="F41" s="46"/>
      <c r="G41" s="46"/>
      <c r="H41" s="77">
        <v>22</v>
      </c>
      <c r="I41" s="46"/>
      <c r="J41" s="46"/>
      <c r="K41" s="46"/>
      <c r="L41" s="46"/>
      <c r="M41" s="133"/>
      <c r="N41" s="46"/>
      <c r="O41" s="46"/>
      <c r="P41" s="46"/>
      <c r="Q41" s="46"/>
      <c r="R41" s="46"/>
      <c r="S41" s="46"/>
      <c r="T41" s="46"/>
      <c r="U41" s="46"/>
    </row>
    <row r="42" spans="2:21" x14ac:dyDescent="0.25">
      <c r="B42" s="135" t="s">
        <v>318</v>
      </c>
      <c r="C42" s="136">
        <v>26.6</v>
      </c>
      <c r="D42" s="46"/>
      <c r="E42" s="46"/>
      <c r="F42" s="46"/>
      <c r="G42" s="46"/>
      <c r="H42" s="77">
        <v>27</v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spans="2:21" x14ac:dyDescent="0.25">
      <c r="B43" s="46" t="s">
        <v>115</v>
      </c>
      <c r="C43" s="60">
        <v>40</v>
      </c>
      <c r="D43" s="46"/>
      <c r="E43" s="46"/>
      <c r="F43" s="46"/>
      <c r="G43" s="46"/>
      <c r="H43" s="134">
        <v>45</v>
      </c>
      <c r="I43" s="46"/>
      <c r="J43" s="46"/>
      <c r="K43" s="46"/>
      <c r="L43" s="46"/>
      <c r="M43" s="133"/>
      <c r="N43" s="46"/>
      <c r="O43" s="46"/>
      <c r="P43" s="46"/>
      <c r="Q43" s="46"/>
      <c r="R43" s="46"/>
      <c r="S43" s="46"/>
      <c r="T43" s="46"/>
      <c r="U43" s="46"/>
    </row>
    <row r="44" spans="2:21" x14ac:dyDescent="0.25">
      <c r="B44" s="135" t="s">
        <v>116</v>
      </c>
      <c r="C44" s="136">
        <v>42</v>
      </c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</row>
    <row r="45" spans="2:21" x14ac:dyDescent="0.25">
      <c r="B45" s="137" t="s">
        <v>117</v>
      </c>
      <c r="C45" s="60">
        <v>60</v>
      </c>
      <c r="D45" s="46"/>
      <c r="E45" s="46"/>
      <c r="F45" s="46"/>
      <c r="G45" s="46"/>
      <c r="H45" s="46"/>
      <c r="I45" s="46"/>
      <c r="J45" s="46"/>
      <c r="K45" s="46"/>
      <c r="L45" s="46"/>
      <c r="N45" s="46"/>
      <c r="O45" s="46"/>
      <c r="P45" s="46"/>
      <c r="Q45" s="46"/>
      <c r="R45" s="46"/>
      <c r="S45" s="46"/>
      <c r="T45" s="46"/>
      <c r="U45" s="46"/>
    </row>
    <row r="46" spans="2:21" x14ac:dyDescent="0.25">
      <c r="B46" s="135" t="s">
        <v>319</v>
      </c>
      <c r="C46" s="136">
        <v>20.2</v>
      </c>
      <c r="D46" s="46"/>
      <c r="E46" s="46"/>
      <c r="F46" s="46"/>
    </row>
    <row r="47" spans="2:21" x14ac:dyDescent="0.25">
      <c r="B47" s="46"/>
      <c r="C47" s="46"/>
      <c r="D47" s="46"/>
      <c r="E47" s="46"/>
      <c r="F47" s="46"/>
      <c r="M47" s="41"/>
    </row>
  </sheetData>
  <mergeCells count="1">
    <mergeCell ref="B2:P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E18"/>
  <sheetViews>
    <sheetView showGridLines="0" workbookViewId="0">
      <selection activeCell="V32" sqref="V32"/>
    </sheetView>
  </sheetViews>
  <sheetFormatPr defaultRowHeight="15" outlineLevelCol="1" x14ac:dyDescent="0.25"/>
  <cols>
    <col min="1" max="1" width="2.7109375" customWidth="1"/>
    <col min="2" max="2" width="8.140625" bestFit="1" customWidth="1"/>
    <col min="3" max="3" width="13.5703125" customWidth="1"/>
    <col min="4" max="4" width="15.5703125" customWidth="1"/>
    <col min="5" max="5" width="2.7109375" customWidth="1"/>
    <col min="6" max="6" width="14.42578125" hidden="1" customWidth="1" outlineLevel="1"/>
    <col min="7" max="7" width="15.140625" hidden="1" customWidth="1" outlineLevel="1"/>
    <col min="8" max="8" width="2.7109375" customWidth="1" collapsed="1"/>
    <col min="9" max="9" width="8.140625" bestFit="1" customWidth="1"/>
    <col min="10" max="10" width="12.7109375" customWidth="1"/>
    <col min="11" max="11" width="13.7109375" bestFit="1" customWidth="1"/>
    <col min="12" max="12" width="2.7109375" customWidth="1"/>
    <col min="13" max="13" width="12.5703125" hidden="1" customWidth="1" outlineLevel="1"/>
    <col min="14" max="14" width="9.140625" hidden="1" customWidth="1" outlineLevel="1"/>
    <col min="15" max="15" width="2.7109375" customWidth="1" collapsed="1"/>
    <col min="17" max="17" width="13.85546875" bestFit="1" customWidth="1"/>
    <col min="18" max="18" width="15.28515625" customWidth="1"/>
    <col min="19" max="19" width="2.7109375" customWidth="1"/>
    <col min="20" max="20" width="12.5703125" hidden="1" customWidth="1" outlineLevel="1"/>
    <col min="21" max="21" width="9.140625" hidden="1" customWidth="1" outlineLevel="1"/>
    <col min="22" max="22" width="2.7109375" customWidth="1" collapsed="1"/>
    <col min="23" max="23" width="17.42578125" bestFit="1" customWidth="1"/>
    <col min="24" max="24" width="9.5703125" bestFit="1" customWidth="1"/>
    <col min="25" max="25" width="12.28515625" customWidth="1"/>
    <col min="26" max="26" width="2.7109375" customWidth="1"/>
    <col min="27" max="27" width="12.5703125" hidden="1" customWidth="1" outlineLevel="1"/>
    <col min="28" max="28" width="9.140625" hidden="1" customWidth="1" outlineLevel="1"/>
    <col min="29" max="29" width="9.140625" collapsed="1"/>
  </cols>
  <sheetData>
    <row r="2" spans="2:31" ht="18.75" customHeight="1" x14ac:dyDescent="0.25">
      <c r="B2" s="222" t="s">
        <v>123</v>
      </c>
      <c r="C2" s="222"/>
      <c r="D2" s="222"/>
      <c r="F2" s="3" t="s">
        <v>96</v>
      </c>
      <c r="G2" s="9">
        <v>7.0000000000000007E-2</v>
      </c>
      <c r="I2" s="222" t="s">
        <v>125</v>
      </c>
      <c r="J2" s="222"/>
      <c r="K2" s="222"/>
      <c r="M2" s="3" t="s">
        <v>96</v>
      </c>
      <c r="N2" s="9">
        <v>7.0000000000000007E-2</v>
      </c>
      <c r="P2" s="222" t="s">
        <v>128</v>
      </c>
      <c r="Q2" s="222"/>
      <c r="R2" s="222"/>
      <c r="T2" s="3" t="s">
        <v>96</v>
      </c>
      <c r="U2" s="9">
        <v>7.0000000000000007E-2</v>
      </c>
      <c r="W2" s="222" t="s">
        <v>137</v>
      </c>
      <c r="X2" s="222"/>
      <c r="Y2" s="222"/>
      <c r="AA2" s="3" t="s">
        <v>96</v>
      </c>
      <c r="AB2" s="9">
        <v>7.0000000000000007E-2</v>
      </c>
      <c r="AC2" s="223" t="s">
        <v>330</v>
      </c>
      <c r="AD2" s="223"/>
      <c r="AE2" s="223"/>
    </row>
    <row r="3" spans="2:31" ht="33" customHeight="1" x14ac:dyDescent="0.25">
      <c r="B3" s="96" t="s">
        <v>124</v>
      </c>
      <c r="C3" s="48" t="s">
        <v>120</v>
      </c>
      <c r="D3" s="43" t="s">
        <v>121</v>
      </c>
      <c r="E3" s="46"/>
      <c r="F3" s="48" t="s">
        <v>120</v>
      </c>
      <c r="G3" s="43" t="s">
        <v>121</v>
      </c>
      <c r="H3" s="46"/>
      <c r="I3" s="96" t="s">
        <v>124</v>
      </c>
      <c r="J3" s="48" t="s">
        <v>120</v>
      </c>
      <c r="K3" s="43" t="s">
        <v>121</v>
      </c>
      <c r="L3" s="46"/>
      <c r="M3" s="48" t="s">
        <v>120</v>
      </c>
      <c r="N3" s="43" t="s">
        <v>121</v>
      </c>
      <c r="O3" s="46"/>
      <c r="P3" s="96" t="s">
        <v>127</v>
      </c>
      <c r="Q3" s="48" t="s">
        <v>126</v>
      </c>
      <c r="R3" s="48" t="s">
        <v>141</v>
      </c>
      <c r="S3" s="46"/>
      <c r="T3" s="48" t="s">
        <v>120</v>
      </c>
      <c r="U3" s="43" t="s">
        <v>121</v>
      </c>
      <c r="V3" s="46"/>
      <c r="W3" s="96" t="s">
        <v>129</v>
      </c>
      <c r="X3" s="48" t="s">
        <v>5</v>
      </c>
      <c r="Y3" s="43" t="s">
        <v>130</v>
      </c>
      <c r="AA3" s="4" t="s">
        <v>120</v>
      </c>
      <c r="AB3" s="5"/>
      <c r="AC3" s="96" t="s">
        <v>127</v>
      </c>
      <c r="AD3" s="48" t="s">
        <v>126</v>
      </c>
      <c r="AE3" s="48" t="s">
        <v>141</v>
      </c>
    </row>
    <row r="4" spans="2:31" ht="15.75" x14ac:dyDescent="0.25">
      <c r="B4" s="138">
        <v>1</v>
      </c>
      <c r="C4" s="51">
        <f>F4*$G$2+F4</f>
        <v>2.0329999999999999</v>
      </c>
      <c r="D4" s="52">
        <f>G4*$G$2+G4</f>
        <v>1.7654999999999998</v>
      </c>
      <c r="E4" s="46"/>
      <c r="F4" s="139">
        <v>1.9</v>
      </c>
      <c r="G4" s="140">
        <v>1.65</v>
      </c>
      <c r="H4" s="46"/>
      <c r="I4" s="138">
        <v>1</v>
      </c>
      <c r="J4" s="51">
        <f>M4*$N$2+M4</f>
        <v>1.5514999999999999</v>
      </c>
      <c r="K4" s="52">
        <f>N4*$N$2+N4</f>
        <v>1.284</v>
      </c>
      <c r="L4" s="46"/>
      <c r="M4" s="139">
        <v>1.45</v>
      </c>
      <c r="N4" s="140">
        <v>1.2</v>
      </c>
      <c r="O4" s="46"/>
      <c r="P4" s="138" t="s">
        <v>37</v>
      </c>
      <c r="Q4" s="51">
        <f t="shared" ref="Q4:R10" si="0">T4*$U$2+T4</f>
        <v>3.7450000000000001</v>
      </c>
      <c r="R4" s="52">
        <f t="shared" si="0"/>
        <v>1.8725000000000001</v>
      </c>
      <c r="S4" s="46"/>
      <c r="T4" s="139">
        <v>3.5</v>
      </c>
      <c r="U4" s="140">
        <f t="shared" ref="U4:U9" si="1">T4/2</f>
        <v>1.75</v>
      </c>
      <c r="V4" s="46"/>
      <c r="W4" s="141" t="s">
        <v>71</v>
      </c>
      <c r="X4" s="51">
        <f>AA4*$AB$2+AA4</f>
        <v>10.7</v>
      </c>
      <c r="Y4" s="142" t="s">
        <v>131</v>
      </c>
      <c r="AA4" s="1">
        <v>10</v>
      </c>
      <c r="AB4" s="7"/>
      <c r="AC4" s="138">
        <v>1</v>
      </c>
      <c r="AD4" s="51">
        <v>30</v>
      </c>
      <c r="AE4" s="52">
        <v>15</v>
      </c>
    </row>
    <row r="5" spans="2:31" ht="15.75" x14ac:dyDescent="0.25">
      <c r="B5" s="138">
        <v>2</v>
      </c>
      <c r="C5" s="51">
        <f t="shared" ref="C5:C10" si="2">F5*$G$2+F5</f>
        <v>2.5680000000000001</v>
      </c>
      <c r="D5" s="52">
        <f t="shared" ref="D5:D9" si="3">G5*$G$2+G5</f>
        <v>2.3005</v>
      </c>
      <c r="E5" s="46"/>
      <c r="F5" s="139">
        <v>2.4</v>
      </c>
      <c r="G5" s="140">
        <v>2.15</v>
      </c>
      <c r="H5" s="46"/>
      <c r="I5" s="138">
        <v>2</v>
      </c>
      <c r="J5" s="51">
        <f t="shared" ref="J5:J10" si="4">M5*$N$2+M5</f>
        <v>2.0329999999999999</v>
      </c>
      <c r="K5" s="52">
        <f t="shared" ref="K5:K9" si="5">N5*$N$2+N5</f>
        <v>1.7654999999999998</v>
      </c>
      <c r="L5" s="46"/>
      <c r="M5" s="139">
        <v>1.9</v>
      </c>
      <c r="N5" s="140">
        <v>1.65</v>
      </c>
      <c r="O5" s="46"/>
      <c r="P5" s="138" t="s">
        <v>38</v>
      </c>
      <c r="Q5" s="51">
        <f t="shared" si="0"/>
        <v>3.21</v>
      </c>
      <c r="R5" s="52">
        <f t="shared" si="0"/>
        <v>1.605</v>
      </c>
      <c r="S5" s="46"/>
      <c r="T5" s="139">
        <v>3</v>
      </c>
      <c r="U5" s="140">
        <f t="shared" si="1"/>
        <v>1.5</v>
      </c>
      <c r="V5" s="46"/>
      <c r="W5" s="141" t="s">
        <v>132</v>
      </c>
      <c r="X5" s="51">
        <f t="shared" ref="X5:X11" si="6">AA5*$AB$2+AA5</f>
        <v>12.84</v>
      </c>
      <c r="Y5" s="142" t="s">
        <v>131</v>
      </c>
      <c r="AA5" s="1">
        <v>12</v>
      </c>
      <c r="AB5" s="7"/>
      <c r="AC5" s="138">
        <v>5</v>
      </c>
      <c r="AD5" s="51">
        <v>25</v>
      </c>
      <c r="AE5" s="52">
        <v>10</v>
      </c>
    </row>
    <row r="6" spans="2:31" ht="15.75" x14ac:dyDescent="0.25">
      <c r="B6" s="138">
        <v>3</v>
      </c>
      <c r="C6" s="51">
        <f t="shared" si="2"/>
        <v>2.996</v>
      </c>
      <c r="D6" s="52">
        <f t="shared" si="3"/>
        <v>2.7284999999999999</v>
      </c>
      <c r="E6" s="46"/>
      <c r="F6" s="139">
        <v>2.8</v>
      </c>
      <c r="G6" s="140">
        <v>2.5499999999999998</v>
      </c>
      <c r="H6" s="46"/>
      <c r="I6" s="138">
        <v>3</v>
      </c>
      <c r="J6" s="51">
        <f t="shared" si="4"/>
        <v>2.4609999999999999</v>
      </c>
      <c r="K6" s="52">
        <f t="shared" si="5"/>
        <v>2.1934999999999998</v>
      </c>
      <c r="L6" s="46"/>
      <c r="M6" s="139">
        <v>2.2999999999999998</v>
      </c>
      <c r="N6" s="140">
        <v>2.0499999999999998</v>
      </c>
      <c r="O6" s="46"/>
      <c r="P6" s="138" t="s">
        <v>39</v>
      </c>
      <c r="Q6" s="51">
        <f t="shared" si="0"/>
        <v>2.996</v>
      </c>
      <c r="R6" s="52">
        <f t="shared" si="0"/>
        <v>1.498</v>
      </c>
      <c r="S6" s="46"/>
      <c r="T6" s="139">
        <v>2.8</v>
      </c>
      <c r="U6" s="140">
        <f t="shared" si="1"/>
        <v>1.4</v>
      </c>
      <c r="V6" s="46"/>
      <c r="W6" s="141" t="s">
        <v>133</v>
      </c>
      <c r="X6" s="51">
        <f t="shared" si="6"/>
        <v>10.7</v>
      </c>
      <c r="Y6" s="142" t="s">
        <v>131</v>
      </c>
      <c r="AA6" s="1">
        <v>10</v>
      </c>
      <c r="AB6" s="7"/>
      <c r="AC6" s="138">
        <v>10</v>
      </c>
      <c r="AD6" s="51">
        <v>15</v>
      </c>
      <c r="AE6" s="52">
        <v>5</v>
      </c>
    </row>
    <row r="7" spans="2:31" ht="15.75" x14ac:dyDescent="0.25">
      <c r="B7" s="138">
        <v>4</v>
      </c>
      <c r="C7" s="51">
        <f t="shared" si="2"/>
        <v>3.4240000000000004</v>
      </c>
      <c r="D7" s="52">
        <f t="shared" si="3"/>
        <v>3.1565000000000003</v>
      </c>
      <c r="E7" s="46"/>
      <c r="F7" s="139">
        <v>3.2</v>
      </c>
      <c r="G7" s="140">
        <v>2.95</v>
      </c>
      <c r="H7" s="46"/>
      <c r="I7" s="138">
        <v>4</v>
      </c>
      <c r="J7" s="51">
        <f t="shared" si="4"/>
        <v>2.9424999999999999</v>
      </c>
      <c r="K7" s="52">
        <f t="shared" si="5"/>
        <v>2.6749999999999998</v>
      </c>
      <c r="L7" s="46"/>
      <c r="M7" s="139">
        <v>2.75</v>
      </c>
      <c r="N7" s="140">
        <v>2.5</v>
      </c>
      <c r="O7" s="46"/>
      <c r="P7" s="138" t="s">
        <v>40</v>
      </c>
      <c r="Q7" s="51">
        <f t="shared" si="0"/>
        <v>2.6749999999999998</v>
      </c>
      <c r="R7" s="52">
        <f t="shared" si="0"/>
        <v>1.3374999999999999</v>
      </c>
      <c r="S7" s="46"/>
      <c r="T7" s="139">
        <v>2.5</v>
      </c>
      <c r="U7" s="140">
        <f t="shared" si="1"/>
        <v>1.25</v>
      </c>
      <c r="V7" s="46"/>
      <c r="W7" s="141" t="s">
        <v>138</v>
      </c>
      <c r="X7" s="51">
        <f t="shared" si="6"/>
        <v>10.7</v>
      </c>
      <c r="Y7" s="142" t="s">
        <v>131</v>
      </c>
      <c r="AA7" s="1">
        <v>10</v>
      </c>
      <c r="AB7" s="7"/>
      <c r="AC7" s="138">
        <v>50</v>
      </c>
      <c r="AD7" s="51">
        <v>12</v>
      </c>
      <c r="AE7" s="52">
        <v>4</v>
      </c>
    </row>
    <row r="8" spans="2:31" ht="15.75" x14ac:dyDescent="0.25">
      <c r="B8" s="138">
        <v>5</v>
      </c>
      <c r="C8" s="51">
        <f t="shared" si="2"/>
        <v>3.9055</v>
      </c>
      <c r="D8" s="52">
        <f t="shared" si="3"/>
        <v>3.6379999999999999</v>
      </c>
      <c r="E8" s="46"/>
      <c r="F8" s="139">
        <v>3.65</v>
      </c>
      <c r="G8" s="140">
        <v>3.4</v>
      </c>
      <c r="H8" s="46"/>
      <c r="I8" s="138">
        <v>5</v>
      </c>
      <c r="J8" s="51">
        <f t="shared" si="4"/>
        <v>3.4240000000000004</v>
      </c>
      <c r="K8" s="52">
        <f t="shared" si="5"/>
        <v>3.1565000000000003</v>
      </c>
      <c r="L8" s="46"/>
      <c r="M8" s="139">
        <v>3.2</v>
      </c>
      <c r="N8" s="140">
        <v>2.95</v>
      </c>
      <c r="O8" s="46"/>
      <c r="P8" s="138" t="s">
        <v>41</v>
      </c>
      <c r="Q8" s="51">
        <f t="shared" si="0"/>
        <v>2.0329999999999999</v>
      </c>
      <c r="R8" s="52">
        <f t="shared" si="0"/>
        <v>1.0165</v>
      </c>
      <c r="S8" s="46"/>
      <c r="T8" s="139">
        <v>1.9</v>
      </c>
      <c r="U8" s="140">
        <f t="shared" si="1"/>
        <v>0.95</v>
      </c>
      <c r="V8" s="46"/>
      <c r="W8" s="141" t="s">
        <v>139</v>
      </c>
      <c r="X8" s="51">
        <f t="shared" si="6"/>
        <v>10.7</v>
      </c>
      <c r="Y8" s="142" t="s">
        <v>131</v>
      </c>
      <c r="AA8" s="1">
        <v>10</v>
      </c>
      <c r="AB8" s="7"/>
      <c r="AC8" s="138"/>
      <c r="AD8" s="51">
        <f t="shared" ref="AD8:AD10" si="7">AG8*$U$2+AG8</f>
        <v>0</v>
      </c>
      <c r="AE8" s="52">
        <f t="shared" ref="AE8:AE10" si="8">AH8*$U$2+AH8</f>
        <v>0</v>
      </c>
    </row>
    <row r="9" spans="2:31" ht="15.75" x14ac:dyDescent="0.25">
      <c r="B9" s="138">
        <v>6</v>
      </c>
      <c r="C9" s="51">
        <f t="shared" si="2"/>
        <v>4.4405000000000001</v>
      </c>
      <c r="D9" s="52">
        <f t="shared" si="3"/>
        <v>4.173</v>
      </c>
      <c r="E9" s="46"/>
      <c r="F9" s="139">
        <v>4.1500000000000004</v>
      </c>
      <c r="G9" s="140">
        <v>3.9</v>
      </c>
      <c r="H9" s="46"/>
      <c r="I9" s="138">
        <v>6</v>
      </c>
      <c r="J9" s="51">
        <f t="shared" si="4"/>
        <v>3.9055</v>
      </c>
      <c r="K9" s="52">
        <f t="shared" si="5"/>
        <v>3.6379999999999999</v>
      </c>
      <c r="L9" s="46"/>
      <c r="M9" s="139">
        <v>3.65</v>
      </c>
      <c r="N9" s="140">
        <v>3.4</v>
      </c>
      <c r="O9" s="46"/>
      <c r="P9" s="138" t="s">
        <v>42</v>
      </c>
      <c r="Q9" s="51">
        <f t="shared" si="0"/>
        <v>1.7120000000000002</v>
      </c>
      <c r="R9" s="52">
        <f t="shared" si="0"/>
        <v>0.85600000000000009</v>
      </c>
      <c r="S9" s="46"/>
      <c r="T9" s="139">
        <v>1.6</v>
      </c>
      <c r="U9" s="140">
        <f t="shared" si="1"/>
        <v>0.8</v>
      </c>
      <c r="V9" s="46"/>
      <c r="W9" s="141" t="s">
        <v>134</v>
      </c>
      <c r="X9" s="51">
        <f t="shared" si="6"/>
        <v>16.05</v>
      </c>
      <c r="Y9" s="142" t="s">
        <v>135</v>
      </c>
      <c r="AA9" s="1">
        <v>15</v>
      </c>
      <c r="AB9" s="7"/>
      <c r="AC9" s="138"/>
      <c r="AD9" s="51">
        <f t="shared" si="7"/>
        <v>0</v>
      </c>
      <c r="AE9" s="52">
        <f t="shared" si="8"/>
        <v>0</v>
      </c>
    </row>
    <row r="10" spans="2:31" ht="15.75" x14ac:dyDescent="0.25">
      <c r="B10" s="138" t="s">
        <v>122</v>
      </c>
      <c r="C10" s="51">
        <f t="shared" si="2"/>
        <v>4.28</v>
      </c>
      <c r="D10" s="52"/>
      <c r="E10" s="46"/>
      <c r="F10" s="139">
        <v>4</v>
      </c>
      <c r="G10" s="140"/>
      <c r="H10" s="46"/>
      <c r="I10" s="138" t="s">
        <v>122</v>
      </c>
      <c r="J10" s="51">
        <f t="shared" si="4"/>
        <v>2.6749999999999998</v>
      </c>
      <c r="K10" s="52"/>
      <c r="L10" s="46"/>
      <c r="M10" s="139">
        <v>2.5</v>
      </c>
      <c r="N10" s="140"/>
      <c r="O10" s="46"/>
      <c r="P10" s="138" t="s">
        <v>43</v>
      </c>
      <c r="Q10" s="51">
        <f t="shared" si="0"/>
        <v>1.5514999999999999</v>
      </c>
      <c r="R10" s="52">
        <f t="shared" si="0"/>
        <v>0.80249999999999999</v>
      </c>
      <c r="S10" s="46"/>
      <c r="T10" s="139">
        <v>1.45</v>
      </c>
      <c r="U10" s="140">
        <v>0.75</v>
      </c>
      <c r="V10" s="46"/>
      <c r="W10" s="141" t="s">
        <v>136</v>
      </c>
      <c r="X10" s="51">
        <f t="shared" si="6"/>
        <v>26.75</v>
      </c>
      <c r="Y10" s="142" t="s">
        <v>135</v>
      </c>
      <c r="AA10" s="1">
        <v>25</v>
      </c>
      <c r="AB10" s="7"/>
      <c r="AC10" s="138"/>
      <c r="AD10" s="51">
        <f t="shared" si="7"/>
        <v>0</v>
      </c>
      <c r="AE10" s="52">
        <f t="shared" si="8"/>
        <v>0</v>
      </c>
    </row>
    <row r="11" spans="2:31" x14ac:dyDescent="0.25"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138" t="s">
        <v>122</v>
      </c>
      <c r="Q11" s="51">
        <f>T11*$U$2+T11</f>
        <v>3.7450000000000001</v>
      </c>
      <c r="R11" s="52"/>
      <c r="S11" s="46"/>
      <c r="T11" s="139">
        <v>3.5</v>
      </c>
      <c r="U11" s="46"/>
      <c r="V11" s="46"/>
      <c r="W11" s="141" t="s">
        <v>140</v>
      </c>
      <c r="X11" s="51">
        <f t="shared" si="6"/>
        <v>21.4</v>
      </c>
      <c r="Y11" s="142" t="s">
        <v>135</v>
      </c>
      <c r="AA11" s="1">
        <v>20</v>
      </c>
      <c r="AC11" s="138" t="s">
        <v>331</v>
      </c>
      <c r="AD11" s="51">
        <v>30</v>
      </c>
      <c r="AE11" s="52">
        <v>15</v>
      </c>
    </row>
    <row r="12" spans="2:31" x14ac:dyDescent="0.2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spans="2:31" x14ac:dyDescent="0.25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143" t="s">
        <v>146</v>
      </c>
      <c r="X13" s="67"/>
      <c r="Y13" s="67"/>
    </row>
    <row r="14" spans="2:31" x14ac:dyDescent="0.25">
      <c r="B14" s="63" t="s">
        <v>142</v>
      </c>
      <c r="C14" s="46"/>
      <c r="D14" s="120">
        <f>F14*$G$2+F14</f>
        <v>19.260000000000002</v>
      </c>
      <c r="E14" s="46"/>
      <c r="F14" s="56">
        <v>18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143" t="s">
        <v>147</v>
      </c>
      <c r="X14" s="67"/>
      <c r="Y14" s="67"/>
    </row>
    <row r="15" spans="2:31" x14ac:dyDescent="0.25">
      <c r="B15" s="63" t="s">
        <v>143</v>
      </c>
      <c r="C15" s="46"/>
      <c r="D15" s="120">
        <f t="shared" ref="D15:D16" si="9">F15*$G$2+F15</f>
        <v>9.6300000000000008</v>
      </c>
      <c r="E15" s="46"/>
      <c r="F15" s="56">
        <v>9</v>
      </c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spans="2:31" x14ac:dyDescent="0.25">
      <c r="B16" s="63" t="s">
        <v>12</v>
      </c>
      <c r="C16" s="46"/>
      <c r="D16" s="120">
        <f t="shared" si="9"/>
        <v>7.49</v>
      </c>
      <c r="E16" s="46"/>
      <c r="F16" s="56">
        <v>7</v>
      </c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spans="2:25" x14ac:dyDescent="0.25">
      <c r="B17" s="63" t="s">
        <v>144</v>
      </c>
      <c r="C17" s="46"/>
      <c r="D17" s="85" t="s">
        <v>145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spans="2:25" x14ac:dyDescent="0.25"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</sheetData>
  <mergeCells count="5">
    <mergeCell ref="B2:D2"/>
    <mergeCell ref="I2:K2"/>
    <mergeCell ref="P2:R2"/>
    <mergeCell ref="W2:Y2"/>
    <mergeCell ref="AC2:AE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V20"/>
  <sheetViews>
    <sheetView showGridLines="0" workbookViewId="0">
      <selection activeCell="Z10" sqref="Z10"/>
    </sheetView>
  </sheetViews>
  <sheetFormatPr defaultRowHeight="15" outlineLevelCol="1" x14ac:dyDescent="0.25"/>
  <cols>
    <col min="1" max="1" width="2.7109375" customWidth="1"/>
    <col min="2" max="2" width="8.140625" bestFit="1" customWidth="1"/>
    <col min="3" max="3" width="13.5703125" customWidth="1"/>
    <col min="4" max="4" width="15.5703125" customWidth="1"/>
    <col min="5" max="5" width="2.7109375" customWidth="1"/>
    <col min="6" max="6" width="14.42578125" hidden="1" customWidth="1" outlineLevel="1"/>
    <col min="7" max="7" width="15.140625" hidden="1" customWidth="1" outlineLevel="1"/>
    <col min="8" max="8" width="2.7109375" customWidth="1" collapsed="1"/>
    <col min="9" max="9" width="8.140625" bestFit="1" customWidth="1"/>
    <col min="10" max="10" width="12.7109375" customWidth="1"/>
    <col min="11" max="11" width="13.7109375" bestFit="1" customWidth="1"/>
    <col min="12" max="12" width="2.7109375" customWidth="1"/>
    <col min="13" max="13" width="12.5703125" hidden="1" customWidth="1" outlineLevel="1"/>
    <col min="14" max="14" width="9.140625" hidden="1" customWidth="1" outlineLevel="1"/>
    <col min="15" max="15" width="2.7109375" customWidth="1" collapsed="1"/>
    <col min="16" max="16" width="13.42578125" bestFit="1" customWidth="1"/>
    <col min="17" max="17" width="13.85546875" bestFit="1" customWidth="1"/>
    <col min="18" max="18" width="15.28515625" customWidth="1"/>
    <col min="19" max="19" width="2.7109375" customWidth="1"/>
    <col min="20" max="20" width="12.5703125" hidden="1" customWidth="1" outlineLevel="1"/>
    <col min="21" max="21" width="9.5703125" hidden="1" customWidth="1" outlineLevel="1"/>
    <col min="22" max="22" width="2.7109375" customWidth="1" collapsed="1"/>
  </cols>
  <sheetData>
    <row r="2" spans="2:21" ht="18.75" customHeight="1" x14ac:dyDescent="0.25">
      <c r="B2" s="222" t="s">
        <v>123</v>
      </c>
      <c r="C2" s="222"/>
      <c r="D2" s="222"/>
      <c r="F2" s="3" t="s">
        <v>96</v>
      </c>
      <c r="G2" s="9">
        <v>0.1</v>
      </c>
      <c r="I2" s="222" t="s">
        <v>125</v>
      </c>
      <c r="J2" s="222"/>
      <c r="K2" s="222"/>
      <c r="M2" s="3" t="s">
        <v>96</v>
      </c>
      <c r="N2" s="9">
        <v>0.1</v>
      </c>
      <c r="P2" s="222" t="s">
        <v>150</v>
      </c>
      <c r="Q2" s="222"/>
      <c r="R2" s="222"/>
      <c r="T2" s="3" t="s">
        <v>96</v>
      </c>
      <c r="U2" s="9">
        <v>0.1</v>
      </c>
    </row>
    <row r="3" spans="2:21" ht="33" customHeight="1" x14ac:dyDescent="0.25">
      <c r="B3" s="96" t="s">
        <v>124</v>
      </c>
      <c r="C3" s="48" t="s">
        <v>120</v>
      </c>
      <c r="D3" s="43" t="s">
        <v>121</v>
      </c>
      <c r="E3" s="46"/>
      <c r="F3" s="48" t="s">
        <v>120</v>
      </c>
      <c r="G3" s="43" t="s">
        <v>121</v>
      </c>
      <c r="H3" s="46"/>
      <c r="I3" s="96" t="s">
        <v>124</v>
      </c>
      <c r="J3" s="48" t="s">
        <v>120</v>
      </c>
      <c r="K3" s="43" t="s">
        <v>121</v>
      </c>
      <c r="L3" s="46"/>
      <c r="M3" s="48" t="s">
        <v>120</v>
      </c>
      <c r="N3" s="43" t="s">
        <v>121</v>
      </c>
      <c r="O3" s="46"/>
      <c r="P3" s="96" t="s">
        <v>127</v>
      </c>
      <c r="Q3" s="48" t="s">
        <v>148</v>
      </c>
      <c r="R3" s="48" t="s">
        <v>149</v>
      </c>
      <c r="T3" s="4" t="s">
        <v>148</v>
      </c>
      <c r="U3" s="5" t="s">
        <v>149</v>
      </c>
    </row>
    <row r="4" spans="2:21" x14ac:dyDescent="0.25">
      <c r="B4" s="138">
        <v>1</v>
      </c>
      <c r="C4" s="144">
        <f>F4*$G$2+F4</f>
        <v>2.5299999999999998</v>
      </c>
      <c r="D4" s="145">
        <f>G4*$G$2+G4</f>
        <v>2.2549999999999999</v>
      </c>
      <c r="E4" s="46"/>
      <c r="F4" s="139">
        <v>2.2999999999999998</v>
      </c>
      <c r="G4" s="140">
        <v>2.0499999999999998</v>
      </c>
      <c r="H4" s="46"/>
      <c r="I4" s="138">
        <v>1</v>
      </c>
      <c r="J4" s="144">
        <f>M4*$N$2+M4</f>
        <v>2.09</v>
      </c>
      <c r="K4" s="145">
        <f>N4*$N$2+N4</f>
        <v>1.8149999999999999</v>
      </c>
      <c r="L4" s="46"/>
      <c r="M4" s="139">
        <v>1.9</v>
      </c>
      <c r="N4" s="140">
        <v>1.65</v>
      </c>
      <c r="O4" s="46"/>
      <c r="P4" s="138" t="s">
        <v>151</v>
      </c>
      <c r="Q4" s="144">
        <v>4.5</v>
      </c>
      <c r="R4" s="145">
        <v>12</v>
      </c>
      <c r="T4" s="1">
        <v>4</v>
      </c>
      <c r="U4" s="2">
        <v>10</v>
      </c>
    </row>
    <row r="5" spans="2:21" x14ac:dyDescent="0.25">
      <c r="B5" s="138">
        <v>2</v>
      </c>
      <c r="C5" s="144">
        <f t="shared" ref="C5:D9" si="0">F5*$G$2+F5</f>
        <v>3.0249999999999999</v>
      </c>
      <c r="D5" s="145">
        <f t="shared" si="0"/>
        <v>2.75</v>
      </c>
      <c r="E5" s="46"/>
      <c r="F5" s="139">
        <v>2.75</v>
      </c>
      <c r="G5" s="140">
        <v>2.5</v>
      </c>
      <c r="H5" s="46"/>
      <c r="I5" s="138">
        <v>2</v>
      </c>
      <c r="J5" s="144">
        <f t="shared" ref="J5:K9" si="1">M5*$N$2+M5</f>
        <v>2.5299999999999998</v>
      </c>
      <c r="K5" s="145">
        <f t="shared" si="1"/>
        <v>2.2549999999999999</v>
      </c>
      <c r="L5" s="46"/>
      <c r="M5" s="139">
        <v>2.2999999999999998</v>
      </c>
      <c r="N5" s="140">
        <v>2.0499999999999998</v>
      </c>
      <c r="O5" s="46"/>
      <c r="P5" s="138" t="s">
        <v>152</v>
      </c>
      <c r="Q5" s="144">
        <v>4</v>
      </c>
      <c r="R5" s="145">
        <v>10</v>
      </c>
      <c r="T5" s="1">
        <v>3.5</v>
      </c>
      <c r="U5" s="2">
        <v>8</v>
      </c>
    </row>
    <row r="6" spans="2:21" x14ac:dyDescent="0.25">
      <c r="B6" s="138">
        <v>3</v>
      </c>
      <c r="C6" s="144">
        <f t="shared" si="0"/>
        <v>3.5200000000000005</v>
      </c>
      <c r="D6" s="145">
        <f t="shared" si="0"/>
        <v>3.2450000000000001</v>
      </c>
      <c r="E6" s="46"/>
      <c r="F6" s="139">
        <v>3.2</v>
      </c>
      <c r="G6" s="140">
        <v>2.95</v>
      </c>
      <c r="H6" s="46"/>
      <c r="I6" s="138">
        <v>3</v>
      </c>
      <c r="J6" s="144">
        <f t="shared" si="1"/>
        <v>3.0249999999999999</v>
      </c>
      <c r="K6" s="145">
        <f t="shared" si="1"/>
        <v>2.75</v>
      </c>
      <c r="L6" s="46"/>
      <c r="M6" s="139">
        <v>2.75</v>
      </c>
      <c r="N6" s="140">
        <v>2.5</v>
      </c>
      <c r="O6" s="46"/>
      <c r="P6" s="138" t="s">
        <v>153</v>
      </c>
      <c r="Q6" s="144">
        <v>3.5</v>
      </c>
      <c r="R6" s="145">
        <v>9</v>
      </c>
      <c r="T6" s="1">
        <v>3</v>
      </c>
      <c r="U6" s="2">
        <v>6.5</v>
      </c>
    </row>
    <row r="7" spans="2:21" ht="15.75" x14ac:dyDescent="0.25">
      <c r="B7" s="138">
        <v>4</v>
      </c>
      <c r="C7" s="144">
        <f t="shared" si="0"/>
        <v>4.0149999999999997</v>
      </c>
      <c r="D7" s="145">
        <f t="shared" si="0"/>
        <v>3.7399999999999998</v>
      </c>
      <c r="E7" s="46"/>
      <c r="F7" s="139">
        <v>3.65</v>
      </c>
      <c r="G7" s="140">
        <v>3.4</v>
      </c>
      <c r="H7" s="46"/>
      <c r="I7" s="138">
        <v>4</v>
      </c>
      <c r="J7" s="144">
        <f t="shared" si="1"/>
        <v>3.355</v>
      </c>
      <c r="K7" s="145">
        <f t="shared" si="1"/>
        <v>3.0799999999999996</v>
      </c>
      <c r="L7" s="46"/>
      <c r="M7" s="139">
        <v>3.05</v>
      </c>
      <c r="N7" s="140">
        <v>2.8</v>
      </c>
      <c r="O7" s="46"/>
      <c r="P7" s="146"/>
      <c r="Q7" s="139"/>
      <c r="R7" s="139"/>
      <c r="T7" s="1"/>
      <c r="U7" s="6"/>
    </row>
    <row r="8" spans="2:21" ht="15.75" x14ac:dyDescent="0.25">
      <c r="B8" s="138">
        <v>5</v>
      </c>
      <c r="C8" s="144">
        <f t="shared" si="0"/>
        <v>4.4550000000000001</v>
      </c>
      <c r="D8" s="145">
        <f t="shared" si="0"/>
        <v>4.18</v>
      </c>
      <c r="E8" s="46"/>
      <c r="F8" s="139">
        <v>4.05</v>
      </c>
      <c r="G8" s="140">
        <v>3.8</v>
      </c>
      <c r="H8" s="46"/>
      <c r="I8" s="138">
        <v>5</v>
      </c>
      <c r="J8" s="144">
        <f t="shared" si="1"/>
        <v>3.7950000000000004</v>
      </c>
      <c r="K8" s="145">
        <f t="shared" si="1"/>
        <v>3.5200000000000005</v>
      </c>
      <c r="L8" s="46"/>
      <c r="M8" s="139">
        <v>3.45</v>
      </c>
      <c r="N8" s="140">
        <v>3.2</v>
      </c>
      <c r="O8" s="46"/>
      <c r="P8" s="146"/>
      <c r="Q8" s="139"/>
      <c r="R8" s="139"/>
      <c r="T8" s="1"/>
      <c r="U8" s="6"/>
    </row>
    <row r="9" spans="2:21" ht="15.75" x14ac:dyDescent="0.25">
      <c r="B9" s="138">
        <v>6</v>
      </c>
      <c r="C9" s="144">
        <f t="shared" si="0"/>
        <v>4.95</v>
      </c>
      <c r="D9" s="145">
        <f t="shared" si="0"/>
        <v>4.6749999999999998</v>
      </c>
      <c r="E9" s="46"/>
      <c r="F9" s="139">
        <v>4.5</v>
      </c>
      <c r="G9" s="140">
        <v>4.25</v>
      </c>
      <c r="H9" s="46"/>
      <c r="I9" s="138">
        <v>6</v>
      </c>
      <c r="J9" s="144">
        <f t="shared" si="1"/>
        <v>4.29</v>
      </c>
      <c r="K9" s="145">
        <f t="shared" si="1"/>
        <v>4.0149999999999997</v>
      </c>
      <c r="L9" s="46"/>
      <c r="M9" s="139">
        <v>3.9</v>
      </c>
      <c r="N9" s="140">
        <v>3.65</v>
      </c>
      <c r="O9" s="46"/>
      <c r="P9" s="146"/>
      <c r="Q9" s="139"/>
      <c r="R9" s="139"/>
      <c r="T9" s="1"/>
      <c r="U9" s="6"/>
    </row>
    <row r="10" spans="2:21" ht="15.75" x14ac:dyDescent="0.25">
      <c r="B10" s="146"/>
      <c r="C10" s="139"/>
      <c r="D10" s="139"/>
      <c r="E10" s="46"/>
      <c r="F10" s="139"/>
      <c r="G10" s="139"/>
      <c r="H10" s="46"/>
      <c r="I10" s="146"/>
      <c r="J10" s="139"/>
      <c r="K10" s="139"/>
      <c r="L10" s="46"/>
      <c r="M10" s="139"/>
      <c r="N10" s="139"/>
      <c r="O10" s="46"/>
      <c r="P10" s="146"/>
      <c r="Q10" s="139"/>
      <c r="R10" s="139"/>
      <c r="T10" s="1"/>
      <c r="U10" s="6"/>
    </row>
    <row r="11" spans="2:21" x14ac:dyDescent="0.25"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146"/>
      <c r="Q11" s="139"/>
      <c r="R11" s="139"/>
      <c r="T11" s="1"/>
    </row>
    <row r="12" spans="2:21" x14ac:dyDescent="0.25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90" t="s">
        <v>208</v>
      </c>
      <c r="Q12" s="90"/>
      <c r="R12" s="90"/>
    </row>
    <row r="13" spans="2:21" x14ac:dyDescent="0.25"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6">
        <v>30</v>
      </c>
      <c r="Q13" s="46"/>
      <c r="R13" s="46"/>
    </row>
    <row r="14" spans="2:21" x14ac:dyDescent="0.25">
      <c r="B14" s="63" t="s">
        <v>142</v>
      </c>
      <c r="C14" s="46"/>
      <c r="D14" s="56">
        <f>F14*$G$2+F14</f>
        <v>19.8</v>
      </c>
      <c r="E14" s="46"/>
      <c r="F14" s="56">
        <v>18</v>
      </c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</row>
    <row r="15" spans="2:21" x14ac:dyDescent="0.25">
      <c r="B15" s="63" t="s">
        <v>143</v>
      </c>
      <c r="C15" s="46"/>
      <c r="D15" s="56">
        <f t="shared" ref="D15:D16" si="2">F15*$G$2+F15</f>
        <v>9.9</v>
      </c>
      <c r="E15" s="46"/>
      <c r="F15" s="56">
        <v>9</v>
      </c>
      <c r="G15" s="46"/>
      <c r="H15" s="46"/>
      <c r="I15" s="46"/>
      <c r="J15" s="46"/>
      <c r="K15" s="46"/>
      <c r="L15" s="46"/>
      <c r="M15" s="46"/>
      <c r="N15" s="46"/>
      <c r="O15" s="46"/>
      <c r="P15" s="90" t="s">
        <v>220</v>
      </c>
      <c r="Q15" s="90"/>
      <c r="R15" s="90"/>
    </row>
    <row r="16" spans="2:21" x14ac:dyDescent="0.25">
      <c r="B16" s="63" t="s">
        <v>12</v>
      </c>
      <c r="C16" s="46"/>
      <c r="D16" s="56">
        <f t="shared" si="2"/>
        <v>7.7</v>
      </c>
      <c r="E16" s="46"/>
      <c r="F16" s="56">
        <v>7</v>
      </c>
      <c r="G16" s="46"/>
      <c r="H16" s="46"/>
      <c r="I16" s="46"/>
      <c r="J16" s="46"/>
      <c r="K16" s="46"/>
      <c r="L16" s="46"/>
      <c r="M16" s="46"/>
      <c r="N16" s="46"/>
      <c r="O16" s="46"/>
      <c r="P16" s="56">
        <v>55</v>
      </c>
      <c r="Q16" s="46"/>
      <c r="R16" s="46"/>
    </row>
    <row r="17" spans="2:18" x14ac:dyDescent="0.25">
      <c r="B17" s="63" t="s">
        <v>144</v>
      </c>
      <c r="C17" s="46"/>
      <c r="D17" s="85" t="s">
        <v>145</v>
      </c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6"/>
      <c r="Q17" s="46"/>
      <c r="R17" s="46"/>
    </row>
    <row r="18" spans="2:18" x14ac:dyDescent="0.25">
      <c r="P18" s="90" t="s">
        <v>221</v>
      </c>
      <c r="Q18" s="90"/>
      <c r="R18" s="90"/>
    </row>
    <row r="19" spans="2:18" x14ac:dyDescent="0.25">
      <c r="P19" s="56">
        <v>30</v>
      </c>
      <c r="Q19" s="46"/>
      <c r="R19" s="46"/>
    </row>
    <row r="20" spans="2:18" x14ac:dyDescent="0.25">
      <c r="P20" s="56">
        <v>2.8</v>
      </c>
      <c r="Q20" t="s">
        <v>222</v>
      </c>
    </row>
  </sheetData>
  <mergeCells count="3">
    <mergeCell ref="B2:D2"/>
    <mergeCell ref="I2:K2"/>
    <mergeCell ref="P2:R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L16"/>
  <sheetViews>
    <sheetView showGridLines="0" workbookViewId="0">
      <selection activeCell="C8" sqref="C8"/>
    </sheetView>
  </sheetViews>
  <sheetFormatPr defaultRowHeight="15" x14ac:dyDescent="0.25"/>
  <cols>
    <col min="1" max="1" width="2.7109375" customWidth="1"/>
    <col min="2" max="2" width="27" bestFit="1" customWidth="1"/>
    <col min="3" max="3" width="11.85546875" customWidth="1"/>
    <col min="4" max="5" width="2.7109375" customWidth="1"/>
    <col min="6" max="6" width="18.42578125" bestFit="1" customWidth="1"/>
    <col min="7" max="7" width="10.85546875" customWidth="1"/>
    <col min="8" max="8" width="10.5703125" bestFit="1" customWidth="1"/>
    <col min="9" max="9" width="2.7109375" customWidth="1"/>
    <col min="10" max="10" width="14.28515625" bestFit="1" customWidth="1"/>
    <col min="11" max="11" width="9.5703125" bestFit="1" customWidth="1"/>
  </cols>
  <sheetData>
    <row r="2" spans="2:12" ht="21" x14ac:dyDescent="0.35">
      <c r="B2" s="214" t="s">
        <v>210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</row>
    <row r="3" spans="2:12" ht="15" customHeight="1" x14ac:dyDescent="0.25"/>
    <row r="4" spans="2:12" ht="18.75" x14ac:dyDescent="0.3">
      <c r="B4" s="213" t="s">
        <v>159</v>
      </c>
      <c r="C4" s="213"/>
      <c r="F4" s="212" t="s">
        <v>162</v>
      </c>
      <c r="G4" s="212"/>
      <c r="H4" s="212"/>
      <c r="J4" s="222" t="s">
        <v>211</v>
      </c>
      <c r="K4" s="222"/>
      <c r="L4" s="222"/>
    </row>
    <row r="5" spans="2:12" ht="18.75" customHeight="1" x14ac:dyDescent="0.25">
      <c r="B5" s="48" t="s">
        <v>8</v>
      </c>
      <c r="C5" s="48" t="s">
        <v>5</v>
      </c>
      <c r="D5" s="46"/>
      <c r="E5" s="46"/>
      <c r="F5" s="48" t="s">
        <v>8</v>
      </c>
      <c r="G5" s="48" t="s">
        <v>164</v>
      </c>
      <c r="H5" s="48" t="s">
        <v>165</v>
      </c>
      <c r="I5" s="46"/>
      <c r="J5" s="154" t="s">
        <v>66</v>
      </c>
      <c r="K5" s="154" t="s">
        <v>5</v>
      </c>
      <c r="L5" s="45"/>
    </row>
    <row r="6" spans="2:12" x14ac:dyDescent="0.25">
      <c r="B6" s="104" t="s">
        <v>154</v>
      </c>
      <c r="C6" s="139">
        <v>50</v>
      </c>
      <c r="D6" s="46"/>
      <c r="E6" s="46"/>
      <c r="F6" s="104" t="s">
        <v>154</v>
      </c>
      <c r="G6" s="153">
        <v>35</v>
      </c>
      <c r="H6" s="139">
        <f>+G6*0.9</f>
        <v>31.5</v>
      </c>
      <c r="I6" s="46"/>
      <c r="J6" s="50" t="s">
        <v>184</v>
      </c>
      <c r="K6" s="139">
        <v>27</v>
      </c>
    </row>
    <row r="7" spans="2:12" x14ac:dyDescent="0.25">
      <c r="B7" s="104" t="s">
        <v>160</v>
      </c>
      <c r="C7" s="139">
        <v>65</v>
      </c>
      <c r="D7" s="46"/>
      <c r="E7" s="46"/>
      <c r="F7" s="104" t="s">
        <v>155</v>
      </c>
      <c r="G7" s="153">
        <v>50</v>
      </c>
      <c r="H7" s="139">
        <f t="shared" ref="H7:H10" si="0">+G7*0.9</f>
        <v>45</v>
      </c>
      <c r="I7" s="46"/>
      <c r="J7" s="50" t="s">
        <v>185</v>
      </c>
      <c r="K7" s="139">
        <v>26</v>
      </c>
    </row>
    <row r="8" spans="2:12" x14ac:dyDescent="0.25">
      <c r="B8" s="104" t="s">
        <v>155</v>
      </c>
      <c r="C8" s="139">
        <v>80</v>
      </c>
      <c r="D8" s="46"/>
      <c r="E8" s="46"/>
      <c r="F8" s="104" t="s">
        <v>163</v>
      </c>
      <c r="G8" s="153">
        <v>52.5</v>
      </c>
      <c r="H8" s="139">
        <f t="shared" si="0"/>
        <v>47.25</v>
      </c>
      <c r="I8" s="46"/>
      <c r="J8" s="50" t="s">
        <v>186</v>
      </c>
      <c r="K8" s="139">
        <v>25</v>
      </c>
    </row>
    <row r="9" spans="2:12" x14ac:dyDescent="0.25">
      <c r="B9" s="104" t="s">
        <v>156</v>
      </c>
      <c r="C9" s="139">
        <v>40</v>
      </c>
      <c r="D9" s="46"/>
      <c r="E9" s="46"/>
      <c r="F9" s="104" t="s">
        <v>157</v>
      </c>
      <c r="G9" s="153">
        <v>80</v>
      </c>
      <c r="H9" s="139">
        <f t="shared" si="0"/>
        <v>72</v>
      </c>
      <c r="I9" s="46"/>
      <c r="J9" s="50" t="s">
        <v>187</v>
      </c>
      <c r="K9" s="139">
        <v>24</v>
      </c>
    </row>
    <row r="10" spans="2:12" x14ac:dyDescent="0.25">
      <c r="B10" s="104" t="s">
        <v>161</v>
      </c>
      <c r="C10" s="139">
        <v>55</v>
      </c>
      <c r="D10" s="46"/>
      <c r="E10" s="46"/>
      <c r="F10" s="104" t="s">
        <v>156</v>
      </c>
      <c r="G10" s="153">
        <v>45</v>
      </c>
      <c r="H10" s="139">
        <f t="shared" si="0"/>
        <v>40.5</v>
      </c>
      <c r="I10" s="46"/>
      <c r="J10" s="50" t="s">
        <v>188</v>
      </c>
      <c r="K10" s="139">
        <v>22</v>
      </c>
    </row>
    <row r="11" spans="2:12" x14ac:dyDescent="0.25">
      <c r="B11" s="104" t="s">
        <v>157</v>
      </c>
      <c r="C11" s="139">
        <v>100</v>
      </c>
      <c r="D11" s="46"/>
      <c r="E11" s="46"/>
      <c r="F11" s="55"/>
      <c r="G11" s="55"/>
      <c r="H11" s="139"/>
      <c r="I11" s="46"/>
      <c r="J11" s="46"/>
      <c r="K11" s="46"/>
    </row>
    <row r="12" spans="2:12" x14ac:dyDescent="0.25">
      <c r="B12" s="104" t="s">
        <v>158</v>
      </c>
      <c r="C12" s="139">
        <v>110</v>
      </c>
      <c r="D12" s="46"/>
      <c r="E12" s="46"/>
      <c r="F12" s="55"/>
      <c r="G12" s="55"/>
      <c r="H12" s="139"/>
      <c r="I12" s="46"/>
      <c r="J12" s="46"/>
      <c r="K12" s="46"/>
    </row>
    <row r="13" spans="2:12" x14ac:dyDescent="0.25">
      <c r="B13" s="104" t="s">
        <v>215</v>
      </c>
      <c r="C13" s="139">
        <v>140</v>
      </c>
      <c r="D13" s="46"/>
      <c r="E13" s="46"/>
      <c r="F13" s="55"/>
      <c r="G13" s="55"/>
      <c r="H13" s="139"/>
      <c r="I13" s="46"/>
      <c r="J13" s="46"/>
      <c r="K13" s="46"/>
    </row>
    <row r="14" spans="2:12" x14ac:dyDescent="0.25">
      <c r="B14" s="104"/>
      <c r="C14" s="139"/>
      <c r="D14" s="46"/>
      <c r="E14" s="46"/>
      <c r="F14" s="55"/>
      <c r="G14" s="55"/>
      <c r="H14" s="139"/>
      <c r="I14" s="46"/>
      <c r="J14" s="46"/>
      <c r="K14" s="46"/>
    </row>
    <row r="15" spans="2:12" x14ac:dyDescent="0.25"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spans="2:12" x14ac:dyDescent="0.25">
      <c r="B16" s="46"/>
      <c r="C16" s="46"/>
      <c r="D16" s="46"/>
      <c r="E16" s="46"/>
      <c r="F16" s="46"/>
      <c r="G16" s="46"/>
      <c r="H16" s="46"/>
      <c r="I16" s="46"/>
      <c r="J16" s="46"/>
      <c r="K16" s="46"/>
    </row>
  </sheetData>
  <mergeCells count="4">
    <mergeCell ref="J4:L4"/>
    <mergeCell ref="B2:L2"/>
    <mergeCell ref="B4:C4"/>
    <mergeCell ref="F4:H4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2"/>
  <sheetViews>
    <sheetView showGridLines="0" workbookViewId="0">
      <selection activeCell="H12" sqref="H12"/>
    </sheetView>
  </sheetViews>
  <sheetFormatPr defaultRowHeight="15.75" x14ac:dyDescent="0.25"/>
  <cols>
    <col min="1" max="1" width="3" style="16" customWidth="1"/>
    <col min="2" max="2" width="15" style="16" customWidth="1"/>
    <col min="3" max="4" width="11.7109375" style="16" bestFit="1" customWidth="1"/>
    <col min="5" max="5" width="11.140625" style="16" bestFit="1" customWidth="1"/>
    <col min="6" max="6" width="12.42578125" style="16" bestFit="1" customWidth="1"/>
    <col min="7" max="7" width="6.42578125" style="16" customWidth="1"/>
    <col min="8" max="8" width="17.5703125" style="16" bestFit="1" customWidth="1"/>
    <col min="9" max="9" width="12.140625" style="16" bestFit="1" customWidth="1"/>
    <col min="10" max="11" width="10.5703125" style="16" bestFit="1" customWidth="1"/>
    <col min="12" max="12" width="12.7109375" style="16" customWidth="1"/>
    <col min="13" max="13" width="6.7109375" style="16" customWidth="1"/>
    <col min="14" max="14" width="14.28515625" style="16" bestFit="1" customWidth="1"/>
    <col min="15" max="15" width="9.5703125" style="16" bestFit="1" customWidth="1"/>
    <col min="16" max="249" width="9.140625" style="16"/>
    <col min="250" max="250" width="3" style="16" customWidth="1"/>
    <col min="251" max="257" width="14.42578125" style="16" customWidth="1"/>
    <col min="258" max="258" width="3" style="16" customWidth="1"/>
    <col min="259" max="260" width="11.85546875" style="16" bestFit="1" customWidth="1"/>
    <col min="261" max="505" width="9.140625" style="16"/>
    <col min="506" max="506" width="3" style="16" customWidth="1"/>
    <col min="507" max="513" width="14.42578125" style="16" customWidth="1"/>
    <col min="514" max="514" width="3" style="16" customWidth="1"/>
    <col min="515" max="516" width="11.85546875" style="16" bestFit="1" customWidth="1"/>
    <col min="517" max="761" width="9.140625" style="16"/>
    <col min="762" max="762" width="3" style="16" customWidth="1"/>
    <col min="763" max="769" width="14.42578125" style="16" customWidth="1"/>
    <col min="770" max="770" width="3" style="16" customWidth="1"/>
    <col min="771" max="772" width="11.85546875" style="16" bestFit="1" customWidth="1"/>
    <col min="773" max="1017" width="9.140625" style="16"/>
    <col min="1018" max="1018" width="3" style="16" customWidth="1"/>
    <col min="1019" max="1025" width="14.42578125" style="16" customWidth="1"/>
    <col min="1026" max="1026" width="3" style="16" customWidth="1"/>
    <col min="1027" max="1028" width="11.85546875" style="16" bestFit="1" customWidth="1"/>
    <col min="1029" max="1273" width="9.140625" style="16"/>
    <col min="1274" max="1274" width="3" style="16" customWidth="1"/>
    <col min="1275" max="1281" width="14.42578125" style="16" customWidth="1"/>
    <col min="1282" max="1282" width="3" style="16" customWidth="1"/>
    <col min="1283" max="1284" width="11.85546875" style="16" bestFit="1" customWidth="1"/>
    <col min="1285" max="1529" width="9.140625" style="16"/>
    <col min="1530" max="1530" width="3" style="16" customWidth="1"/>
    <col min="1531" max="1537" width="14.42578125" style="16" customWidth="1"/>
    <col min="1538" max="1538" width="3" style="16" customWidth="1"/>
    <col min="1539" max="1540" width="11.85546875" style="16" bestFit="1" customWidth="1"/>
    <col min="1541" max="1785" width="9.140625" style="16"/>
    <col min="1786" max="1786" width="3" style="16" customWidth="1"/>
    <col min="1787" max="1793" width="14.42578125" style="16" customWidth="1"/>
    <col min="1794" max="1794" width="3" style="16" customWidth="1"/>
    <col min="1795" max="1796" width="11.85546875" style="16" bestFit="1" customWidth="1"/>
    <col min="1797" max="2041" width="9.140625" style="16"/>
    <col min="2042" max="2042" width="3" style="16" customWidth="1"/>
    <col min="2043" max="2049" width="14.42578125" style="16" customWidth="1"/>
    <col min="2050" max="2050" width="3" style="16" customWidth="1"/>
    <col min="2051" max="2052" width="11.85546875" style="16" bestFit="1" customWidth="1"/>
    <col min="2053" max="2297" width="9.140625" style="16"/>
    <col min="2298" max="2298" width="3" style="16" customWidth="1"/>
    <col min="2299" max="2305" width="14.42578125" style="16" customWidth="1"/>
    <col min="2306" max="2306" width="3" style="16" customWidth="1"/>
    <col min="2307" max="2308" width="11.85546875" style="16" bestFit="1" customWidth="1"/>
    <col min="2309" max="2553" width="9.140625" style="16"/>
    <col min="2554" max="2554" width="3" style="16" customWidth="1"/>
    <col min="2555" max="2561" width="14.42578125" style="16" customWidth="1"/>
    <col min="2562" max="2562" width="3" style="16" customWidth="1"/>
    <col min="2563" max="2564" width="11.85546875" style="16" bestFit="1" customWidth="1"/>
    <col min="2565" max="2809" width="9.140625" style="16"/>
    <col min="2810" max="2810" width="3" style="16" customWidth="1"/>
    <col min="2811" max="2817" width="14.42578125" style="16" customWidth="1"/>
    <col min="2818" max="2818" width="3" style="16" customWidth="1"/>
    <col min="2819" max="2820" width="11.85546875" style="16" bestFit="1" customWidth="1"/>
    <col min="2821" max="3065" width="9.140625" style="16"/>
    <col min="3066" max="3066" width="3" style="16" customWidth="1"/>
    <col min="3067" max="3073" width="14.42578125" style="16" customWidth="1"/>
    <col min="3074" max="3074" width="3" style="16" customWidth="1"/>
    <col min="3075" max="3076" width="11.85546875" style="16" bestFit="1" customWidth="1"/>
    <col min="3077" max="3321" width="9.140625" style="16"/>
    <col min="3322" max="3322" width="3" style="16" customWidth="1"/>
    <col min="3323" max="3329" width="14.42578125" style="16" customWidth="1"/>
    <col min="3330" max="3330" width="3" style="16" customWidth="1"/>
    <col min="3331" max="3332" width="11.85546875" style="16" bestFit="1" customWidth="1"/>
    <col min="3333" max="3577" width="9.140625" style="16"/>
    <col min="3578" max="3578" width="3" style="16" customWidth="1"/>
    <col min="3579" max="3585" width="14.42578125" style="16" customWidth="1"/>
    <col min="3586" max="3586" width="3" style="16" customWidth="1"/>
    <col min="3587" max="3588" width="11.85546875" style="16" bestFit="1" customWidth="1"/>
    <col min="3589" max="3833" width="9.140625" style="16"/>
    <col min="3834" max="3834" width="3" style="16" customWidth="1"/>
    <col min="3835" max="3841" width="14.42578125" style="16" customWidth="1"/>
    <col min="3842" max="3842" width="3" style="16" customWidth="1"/>
    <col min="3843" max="3844" width="11.85546875" style="16" bestFit="1" customWidth="1"/>
    <col min="3845" max="4089" width="9.140625" style="16"/>
    <col min="4090" max="4090" width="3" style="16" customWidth="1"/>
    <col min="4091" max="4097" width="14.42578125" style="16" customWidth="1"/>
    <col min="4098" max="4098" width="3" style="16" customWidth="1"/>
    <col min="4099" max="4100" width="11.85546875" style="16" bestFit="1" customWidth="1"/>
    <col min="4101" max="4345" width="9.140625" style="16"/>
    <col min="4346" max="4346" width="3" style="16" customWidth="1"/>
    <col min="4347" max="4353" width="14.42578125" style="16" customWidth="1"/>
    <col min="4354" max="4354" width="3" style="16" customWidth="1"/>
    <col min="4355" max="4356" width="11.85546875" style="16" bestFit="1" customWidth="1"/>
    <col min="4357" max="4601" width="9.140625" style="16"/>
    <col min="4602" max="4602" width="3" style="16" customWidth="1"/>
    <col min="4603" max="4609" width="14.42578125" style="16" customWidth="1"/>
    <col min="4610" max="4610" width="3" style="16" customWidth="1"/>
    <col min="4611" max="4612" width="11.85546875" style="16" bestFit="1" customWidth="1"/>
    <col min="4613" max="4857" width="9.140625" style="16"/>
    <col min="4858" max="4858" width="3" style="16" customWidth="1"/>
    <col min="4859" max="4865" width="14.42578125" style="16" customWidth="1"/>
    <col min="4866" max="4866" width="3" style="16" customWidth="1"/>
    <col min="4867" max="4868" width="11.85546875" style="16" bestFit="1" customWidth="1"/>
    <col min="4869" max="5113" width="9.140625" style="16"/>
    <col min="5114" max="5114" width="3" style="16" customWidth="1"/>
    <col min="5115" max="5121" width="14.42578125" style="16" customWidth="1"/>
    <col min="5122" max="5122" width="3" style="16" customWidth="1"/>
    <col min="5123" max="5124" width="11.85546875" style="16" bestFit="1" customWidth="1"/>
    <col min="5125" max="5369" width="9.140625" style="16"/>
    <col min="5370" max="5370" width="3" style="16" customWidth="1"/>
    <col min="5371" max="5377" width="14.42578125" style="16" customWidth="1"/>
    <col min="5378" max="5378" width="3" style="16" customWidth="1"/>
    <col min="5379" max="5380" width="11.85546875" style="16" bestFit="1" customWidth="1"/>
    <col min="5381" max="5625" width="9.140625" style="16"/>
    <col min="5626" max="5626" width="3" style="16" customWidth="1"/>
    <col min="5627" max="5633" width="14.42578125" style="16" customWidth="1"/>
    <col min="5634" max="5634" width="3" style="16" customWidth="1"/>
    <col min="5635" max="5636" width="11.85546875" style="16" bestFit="1" customWidth="1"/>
    <col min="5637" max="5881" width="9.140625" style="16"/>
    <col min="5882" max="5882" width="3" style="16" customWidth="1"/>
    <col min="5883" max="5889" width="14.42578125" style="16" customWidth="1"/>
    <col min="5890" max="5890" width="3" style="16" customWidth="1"/>
    <col min="5891" max="5892" width="11.85546875" style="16" bestFit="1" customWidth="1"/>
    <col min="5893" max="6137" width="9.140625" style="16"/>
    <col min="6138" max="6138" width="3" style="16" customWidth="1"/>
    <col min="6139" max="6145" width="14.42578125" style="16" customWidth="1"/>
    <col min="6146" max="6146" width="3" style="16" customWidth="1"/>
    <col min="6147" max="6148" width="11.85546875" style="16" bestFit="1" customWidth="1"/>
    <col min="6149" max="6393" width="9.140625" style="16"/>
    <col min="6394" max="6394" width="3" style="16" customWidth="1"/>
    <col min="6395" max="6401" width="14.42578125" style="16" customWidth="1"/>
    <col min="6402" max="6402" width="3" style="16" customWidth="1"/>
    <col min="6403" max="6404" width="11.85546875" style="16" bestFit="1" customWidth="1"/>
    <col min="6405" max="6649" width="9.140625" style="16"/>
    <col min="6650" max="6650" width="3" style="16" customWidth="1"/>
    <col min="6651" max="6657" width="14.42578125" style="16" customWidth="1"/>
    <col min="6658" max="6658" width="3" style="16" customWidth="1"/>
    <col min="6659" max="6660" width="11.85546875" style="16" bestFit="1" customWidth="1"/>
    <col min="6661" max="6905" width="9.140625" style="16"/>
    <col min="6906" max="6906" width="3" style="16" customWidth="1"/>
    <col min="6907" max="6913" width="14.42578125" style="16" customWidth="1"/>
    <col min="6914" max="6914" width="3" style="16" customWidth="1"/>
    <col min="6915" max="6916" width="11.85546875" style="16" bestFit="1" customWidth="1"/>
    <col min="6917" max="7161" width="9.140625" style="16"/>
    <col min="7162" max="7162" width="3" style="16" customWidth="1"/>
    <col min="7163" max="7169" width="14.42578125" style="16" customWidth="1"/>
    <col min="7170" max="7170" width="3" style="16" customWidth="1"/>
    <col min="7171" max="7172" width="11.85546875" style="16" bestFit="1" customWidth="1"/>
    <col min="7173" max="7417" width="9.140625" style="16"/>
    <col min="7418" max="7418" width="3" style="16" customWidth="1"/>
    <col min="7419" max="7425" width="14.42578125" style="16" customWidth="1"/>
    <col min="7426" max="7426" width="3" style="16" customWidth="1"/>
    <col min="7427" max="7428" width="11.85546875" style="16" bestFit="1" customWidth="1"/>
    <col min="7429" max="7673" width="9.140625" style="16"/>
    <col min="7674" max="7674" width="3" style="16" customWidth="1"/>
    <col min="7675" max="7681" width="14.42578125" style="16" customWidth="1"/>
    <col min="7682" max="7682" width="3" style="16" customWidth="1"/>
    <col min="7683" max="7684" width="11.85546875" style="16" bestFit="1" customWidth="1"/>
    <col min="7685" max="7929" width="9.140625" style="16"/>
    <col min="7930" max="7930" width="3" style="16" customWidth="1"/>
    <col min="7931" max="7937" width="14.42578125" style="16" customWidth="1"/>
    <col min="7938" max="7938" width="3" style="16" customWidth="1"/>
    <col min="7939" max="7940" width="11.85546875" style="16" bestFit="1" customWidth="1"/>
    <col min="7941" max="8185" width="9.140625" style="16"/>
    <col min="8186" max="8186" width="3" style="16" customWidth="1"/>
    <col min="8187" max="8193" width="14.42578125" style="16" customWidth="1"/>
    <col min="8194" max="8194" width="3" style="16" customWidth="1"/>
    <col min="8195" max="8196" width="11.85546875" style="16" bestFit="1" customWidth="1"/>
    <col min="8197" max="8441" width="9.140625" style="16"/>
    <col min="8442" max="8442" width="3" style="16" customWidth="1"/>
    <col min="8443" max="8449" width="14.42578125" style="16" customWidth="1"/>
    <col min="8450" max="8450" width="3" style="16" customWidth="1"/>
    <col min="8451" max="8452" width="11.85546875" style="16" bestFit="1" customWidth="1"/>
    <col min="8453" max="8697" width="9.140625" style="16"/>
    <col min="8698" max="8698" width="3" style="16" customWidth="1"/>
    <col min="8699" max="8705" width="14.42578125" style="16" customWidth="1"/>
    <col min="8706" max="8706" width="3" style="16" customWidth="1"/>
    <col min="8707" max="8708" width="11.85546875" style="16" bestFit="1" customWidth="1"/>
    <col min="8709" max="8953" width="9.140625" style="16"/>
    <col min="8954" max="8954" width="3" style="16" customWidth="1"/>
    <col min="8955" max="8961" width="14.42578125" style="16" customWidth="1"/>
    <col min="8962" max="8962" width="3" style="16" customWidth="1"/>
    <col min="8963" max="8964" width="11.85546875" style="16" bestFit="1" customWidth="1"/>
    <col min="8965" max="9209" width="9.140625" style="16"/>
    <col min="9210" max="9210" width="3" style="16" customWidth="1"/>
    <col min="9211" max="9217" width="14.42578125" style="16" customWidth="1"/>
    <col min="9218" max="9218" width="3" style="16" customWidth="1"/>
    <col min="9219" max="9220" width="11.85546875" style="16" bestFit="1" customWidth="1"/>
    <col min="9221" max="9465" width="9.140625" style="16"/>
    <col min="9466" max="9466" width="3" style="16" customWidth="1"/>
    <col min="9467" max="9473" width="14.42578125" style="16" customWidth="1"/>
    <col min="9474" max="9474" width="3" style="16" customWidth="1"/>
    <col min="9475" max="9476" width="11.85546875" style="16" bestFit="1" customWidth="1"/>
    <col min="9477" max="9721" width="9.140625" style="16"/>
    <col min="9722" max="9722" width="3" style="16" customWidth="1"/>
    <col min="9723" max="9729" width="14.42578125" style="16" customWidth="1"/>
    <col min="9730" max="9730" width="3" style="16" customWidth="1"/>
    <col min="9731" max="9732" width="11.85546875" style="16" bestFit="1" customWidth="1"/>
    <col min="9733" max="9977" width="9.140625" style="16"/>
    <col min="9978" max="9978" width="3" style="16" customWidth="1"/>
    <col min="9979" max="9985" width="14.42578125" style="16" customWidth="1"/>
    <col min="9986" max="9986" width="3" style="16" customWidth="1"/>
    <col min="9987" max="9988" width="11.85546875" style="16" bestFit="1" customWidth="1"/>
    <col min="9989" max="10233" width="9.140625" style="16"/>
    <col min="10234" max="10234" width="3" style="16" customWidth="1"/>
    <col min="10235" max="10241" width="14.42578125" style="16" customWidth="1"/>
    <col min="10242" max="10242" width="3" style="16" customWidth="1"/>
    <col min="10243" max="10244" width="11.85546875" style="16" bestFit="1" customWidth="1"/>
    <col min="10245" max="10489" width="9.140625" style="16"/>
    <col min="10490" max="10490" width="3" style="16" customWidth="1"/>
    <col min="10491" max="10497" width="14.42578125" style="16" customWidth="1"/>
    <col min="10498" max="10498" width="3" style="16" customWidth="1"/>
    <col min="10499" max="10500" width="11.85546875" style="16" bestFit="1" customWidth="1"/>
    <col min="10501" max="10745" width="9.140625" style="16"/>
    <col min="10746" max="10746" width="3" style="16" customWidth="1"/>
    <col min="10747" max="10753" width="14.42578125" style="16" customWidth="1"/>
    <col min="10754" max="10754" width="3" style="16" customWidth="1"/>
    <col min="10755" max="10756" width="11.85546875" style="16" bestFit="1" customWidth="1"/>
    <col min="10757" max="11001" width="9.140625" style="16"/>
    <col min="11002" max="11002" width="3" style="16" customWidth="1"/>
    <col min="11003" max="11009" width="14.42578125" style="16" customWidth="1"/>
    <col min="11010" max="11010" width="3" style="16" customWidth="1"/>
    <col min="11011" max="11012" width="11.85546875" style="16" bestFit="1" customWidth="1"/>
    <col min="11013" max="11257" width="9.140625" style="16"/>
    <col min="11258" max="11258" width="3" style="16" customWidth="1"/>
    <col min="11259" max="11265" width="14.42578125" style="16" customWidth="1"/>
    <col min="11266" max="11266" width="3" style="16" customWidth="1"/>
    <col min="11267" max="11268" width="11.85546875" style="16" bestFit="1" customWidth="1"/>
    <col min="11269" max="11513" width="9.140625" style="16"/>
    <col min="11514" max="11514" width="3" style="16" customWidth="1"/>
    <col min="11515" max="11521" width="14.42578125" style="16" customWidth="1"/>
    <col min="11522" max="11522" width="3" style="16" customWidth="1"/>
    <col min="11523" max="11524" width="11.85546875" style="16" bestFit="1" customWidth="1"/>
    <col min="11525" max="11769" width="9.140625" style="16"/>
    <col min="11770" max="11770" width="3" style="16" customWidth="1"/>
    <col min="11771" max="11777" width="14.42578125" style="16" customWidth="1"/>
    <col min="11778" max="11778" width="3" style="16" customWidth="1"/>
    <col min="11779" max="11780" width="11.85546875" style="16" bestFit="1" customWidth="1"/>
    <col min="11781" max="12025" width="9.140625" style="16"/>
    <col min="12026" max="12026" width="3" style="16" customWidth="1"/>
    <col min="12027" max="12033" width="14.42578125" style="16" customWidth="1"/>
    <col min="12034" max="12034" width="3" style="16" customWidth="1"/>
    <col min="12035" max="12036" width="11.85546875" style="16" bestFit="1" customWidth="1"/>
    <col min="12037" max="12281" width="9.140625" style="16"/>
    <col min="12282" max="12282" width="3" style="16" customWidth="1"/>
    <col min="12283" max="12289" width="14.42578125" style="16" customWidth="1"/>
    <col min="12290" max="12290" width="3" style="16" customWidth="1"/>
    <col min="12291" max="12292" width="11.85546875" style="16" bestFit="1" customWidth="1"/>
    <col min="12293" max="12537" width="9.140625" style="16"/>
    <col min="12538" max="12538" width="3" style="16" customWidth="1"/>
    <col min="12539" max="12545" width="14.42578125" style="16" customWidth="1"/>
    <col min="12546" max="12546" width="3" style="16" customWidth="1"/>
    <col min="12547" max="12548" width="11.85546875" style="16" bestFit="1" customWidth="1"/>
    <col min="12549" max="12793" width="9.140625" style="16"/>
    <col min="12794" max="12794" width="3" style="16" customWidth="1"/>
    <col min="12795" max="12801" width="14.42578125" style="16" customWidth="1"/>
    <col min="12802" max="12802" width="3" style="16" customWidth="1"/>
    <col min="12803" max="12804" width="11.85546875" style="16" bestFit="1" customWidth="1"/>
    <col min="12805" max="13049" width="9.140625" style="16"/>
    <col min="13050" max="13050" width="3" style="16" customWidth="1"/>
    <col min="13051" max="13057" width="14.42578125" style="16" customWidth="1"/>
    <col min="13058" max="13058" width="3" style="16" customWidth="1"/>
    <col min="13059" max="13060" width="11.85546875" style="16" bestFit="1" customWidth="1"/>
    <col min="13061" max="13305" width="9.140625" style="16"/>
    <col min="13306" max="13306" width="3" style="16" customWidth="1"/>
    <col min="13307" max="13313" width="14.42578125" style="16" customWidth="1"/>
    <col min="13314" max="13314" width="3" style="16" customWidth="1"/>
    <col min="13315" max="13316" width="11.85546875" style="16" bestFit="1" customWidth="1"/>
    <col min="13317" max="13561" width="9.140625" style="16"/>
    <col min="13562" max="13562" width="3" style="16" customWidth="1"/>
    <col min="13563" max="13569" width="14.42578125" style="16" customWidth="1"/>
    <col min="13570" max="13570" width="3" style="16" customWidth="1"/>
    <col min="13571" max="13572" width="11.85546875" style="16" bestFit="1" customWidth="1"/>
    <col min="13573" max="13817" width="9.140625" style="16"/>
    <col min="13818" max="13818" width="3" style="16" customWidth="1"/>
    <col min="13819" max="13825" width="14.42578125" style="16" customWidth="1"/>
    <col min="13826" max="13826" width="3" style="16" customWidth="1"/>
    <col min="13827" max="13828" width="11.85546875" style="16" bestFit="1" customWidth="1"/>
    <col min="13829" max="14073" width="9.140625" style="16"/>
    <col min="14074" max="14074" width="3" style="16" customWidth="1"/>
    <col min="14075" max="14081" width="14.42578125" style="16" customWidth="1"/>
    <col min="14082" max="14082" width="3" style="16" customWidth="1"/>
    <col min="14083" max="14084" width="11.85546875" style="16" bestFit="1" customWidth="1"/>
    <col min="14085" max="14329" width="9.140625" style="16"/>
    <col min="14330" max="14330" width="3" style="16" customWidth="1"/>
    <col min="14331" max="14337" width="14.42578125" style="16" customWidth="1"/>
    <col min="14338" max="14338" width="3" style="16" customWidth="1"/>
    <col min="14339" max="14340" width="11.85546875" style="16" bestFit="1" customWidth="1"/>
    <col min="14341" max="14585" width="9.140625" style="16"/>
    <col min="14586" max="14586" width="3" style="16" customWidth="1"/>
    <col min="14587" max="14593" width="14.42578125" style="16" customWidth="1"/>
    <col min="14594" max="14594" width="3" style="16" customWidth="1"/>
    <col min="14595" max="14596" width="11.85546875" style="16" bestFit="1" customWidth="1"/>
    <col min="14597" max="14841" width="9.140625" style="16"/>
    <col min="14842" max="14842" width="3" style="16" customWidth="1"/>
    <col min="14843" max="14849" width="14.42578125" style="16" customWidth="1"/>
    <col min="14850" max="14850" width="3" style="16" customWidth="1"/>
    <col min="14851" max="14852" width="11.85546875" style="16" bestFit="1" customWidth="1"/>
    <col min="14853" max="15097" width="9.140625" style="16"/>
    <col min="15098" max="15098" width="3" style="16" customWidth="1"/>
    <col min="15099" max="15105" width="14.42578125" style="16" customWidth="1"/>
    <col min="15106" max="15106" width="3" style="16" customWidth="1"/>
    <col min="15107" max="15108" width="11.85546875" style="16" bestFit="1" customWidth="1"/>
    <col min="15109" max="15353" width="9.140625" style="16"/>
    <col min="15354" max="15354" width="3" style="16" customWidth="1"/>
    <col min="15355" max="15361" width="14.42578125" style="16" customWidth="1"/>
    <col min="15362" max="15362" width="3" style="16" customWidth="1"/>
    <col min="15363" max="15364" width="11.85546875" style="16" bestFit="1" customWidth="1"/>
    <col min="15365" max="15609" width="9.140625" style="16"/>
    <col min="15610" max="15610" width="3" style="16" customWidth="1"/>
    <col min="15611" max="15617" width="14.42578125" style="16" customWidth="1"/>
    <col min="15618" max="15618" width="3" style="16" customWidth="1"/>
    <col min="15619" max="15620" width="11.85546875" style="16" bestFit="1" customWidth="1"/>
    <col min="15621" max="15865" width="9.140625" style="16"/>
    <col min="15866" max="15866" width="3" style="16" customWidth="1"/>
    <col min="15867" max="15873" width="14.42578125" style="16" customWidth="1"/>
    <col min="15874" max="15874" width="3" style="16" customWidth="1"/>
    <col min="15875" max="15876" width="11.85546875" style="16" bestFit="1" customWidth="1"/>
    <col min="15877" max="16121" width="9.140625" style="16"/>
    <col min="16122" max="16122" width="3" style="16" customWidth="1"/>
    <col min="16123" max="16129" width="14.42578125" style="16" customWidth="1"/>
    <col min="16130" max="16130" width="3" style="16" customWidth="1"/>
    <col min="16131" max="16132" width="11.85546875" style="16" bestFit="1" customWidth="1"/>
    <col min="16133" max="16384" width="9.140625" style="16"/>
  </cols>
  <sheetData>
    <row r="1" spans="1:17" ht="15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</row>
    <row r="2" spans="1:17" ht="22.5" customHeight="1" x14ac:dyDescent="0.35">
      <c r="A2" s="214" t="s">
        <v>209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</row>
    <row r="3" spans="1:17" ht="15.75" customHeight="1" x14ac:dyDescent="0.25">
      <c r="A3" s="42"/>
      <c r="B3" s="42"/>
      <c r="C3" s="42"/>
      <c r="D3"/>
      <c r="E3"/>
      <c r="F3"/>
      <c r="G3"/>
      <c r="H3"/>
      <c r="I3"/>
      <c r="J3"/>
      <c r="K3"/>
      <c r="L3"/>
      <c r="M3"/>
      <c r="N3"/>
      <c r="O3"/>
    </row>
    <row r="4" spans="1:17" ht="15.75" customHeight="1" x14ac:dyDescent="0.35">
      <c r="A4" s="15"/>
      <c r="B4" s="224" t="s">
        <v>168</v>
      </c>
      <c r="C4" s="224"/>
      <c r="D4" s="224"/>
      <c r="E4" s="224"/>
      <c r="F4" s="224"/>
      <c r="G4" s="19"/>
      <c r="H4" s="225" t="s">
        <v>169</v>
      </c>
      <c r="I4" s="225"/>
      <c r="J4" s="225"/>
      <c r="K4" s="225"/>
      <c r="L4" s="225"/>
      <c r="M4" s="19"/>
      <c r="N4" s="224" t="s">
        <v>181</v>
      </c>
      <c r="O4" s="224"/>
      <c r="P4" s="224"/>
    </row>
    <row r="5" spans="1:17" ht="15.75" customHeight="1" x14ac:dyDescent="0.35">
      <c r="A5" s="15"/>
      <c r="B5" s="224"/>
      <c r="C5" s="224"/>
      <c r="D5" s="224"/>
      <c r="E5" s="224"/>
      <c r="F5" s="224"/>
      <c r="G5" s="19"/>
      <c r="H5" s="225"/>
      <c r="I5" s="225"/>
      <c r="J5" s="225"/>
      <c r="K5" s="225"/>
      <c r="L5" s="225"/>
      <c r="M5" s="19"/>
      <c r="N5" s="224"/>
      <c r="O5" s="224"/>
      <c r="P5" s="224"/>
    </row>
    <row r="6" spans="1:17" x14ac:dyDescent="0.25">
      <c r="A6" s="15"/>
      <c r="B6" s="226" t="s">
        <v>342</v>
      </c>
      <c r="C6" s="226"/>
      <c r="D6" s="226"/>
      <c r="E6" s="226"/>
      <c r="F6" s="226"/>
      <c r="G6" s="99"/>
      <c r="H6" s="226" t="s">
        <v>342</v>
      </c>
      <c r="I6" s="226"/>
      <c r="J6" s="226"/>
      <c r="K6" s="226"/>
      <c r="L6" s="226"/>
      <c r="M6" s="137"/>
      <c r="N6" s="226" t="s">
        <v>170</v>
      </c>
      <c r="O6" s="226"/>
      <c r="P6" s="226"/>
    </row>
    <row r="7" spans="1:17" ht="20.25" customHeight="1" x14ac:dyDescent="0.25">
      <c r="A7" s="15"/>
      <c r="B7" s="141" t="s">
        <v>341</v>
      </c>
      <c r="C7" s="96"/>
      <c r="D7" s="204"/>
      <c r="E7" s="96"/>
      <c r="F7" s="96"/>
      <c r="G7" s="48"/>
      <c r="H7" s="141" t="s">
        <v>341</v>
      </c>
      <c r="I7" s="96"/>
      <c r="J7" s="204"/>
      <c r="K7" s="96"/>
      <c r="L7" s="96"/>
      <c r="M7" s="137"/>
      <c r="N7" s="96" t="s">
        <v>314</v>
      </c>
      <c r="O7" s="48" t="s">
        <v>5</v>
      </c>
      <c r="P7" s="48"/>
      <c r="Q7" s="16" t="s">
        <v>310</v>
      </c>
    </row>
    <row r="8" spans="1:17" x14ac:dyDescent="0.25">
      <c r="A8" s="15"/>
      <c r="B8" s="205" t="s">
        <v>340</v>
      </c>
      <c r="C8" s="206" t="s">
        <v>333</v>
      </c>
      <c r="D8" s="207" t="s">
        <v>332</v>
      </c>
      <c r="E8" s="208">
        <f>+D8*C8*50</f>
        <v>35</v>
      </c>
      <c r="F8" s="139"/>
      <c r="G8" s="139"/>
      <c r="H8" s="205" t="s">
        <v>339</v>
      </c>
      <c r="I8" s="206" t="s">
        <v>333</v>
      </c>
      <c r="J8" s="207" t="s">
        <v>332</v>
      </c>
      <c r="K8" s="208">
        <f>+J8*I8*40*2</f>
        <v>56</v>
      </c>
      <c r="L8" s="139"/>
      <c r="M8" s="147"/>
      <c r="N8" s="141" t="s">
        <v>171</v>
      </c>
      <c r="O8" s="148">
        <v>30</v>
      </c>
      <c r="P8" s="149"/>
      <c r="Q8" s="16" t="s">
        <v>312</v>
      </c>
    </row>
    <row r="9" spans="1:17" x14ac:dyDescent="0.25">
      <c r="A9" s="15"/>
      <c r="B9" s="205" t="s">
        <v>340</v>
      </c>
      <c r="C9" s="206" t="s">
        <v>336</v>
      </c>
      <c r="D9" s="207" t="s">
        <v>337</v>
      </c>
      <c r="E9" s="208">
        <f t="shared" ref="E9:E12" si="0">+D9*C9*50</f>
        <v>75</v>
      </c>
      <c r="F9" s="139"/>
      <c r="G9" s="139"/>
      <c r="H9" s="205" t="s">
        <v>339</v>
      </c>
      <c r="I9" s="206" t="s">
        <v>336</v>
      </c>
      <c r="J9" s="207" t="s">
        <v>337</v>
      </c>
      <c r="K9" s="208">
        <f t="shared" ref="K9:K12" si="1">+J9*I9*40*2</f>
        <v>120</v>
      </c>
      <c r="L9" s="139"/>
      <c r="M9" s="147"/>
      <c r="N9" s="126"/>
      <c r="O9" s="126"/>
      <c r="P9" s="149"/>
    </row>
    <row r="10" spans="1:17" ht="15.75" customHeight="1" x14ac:dyDescent="0.25">
      <c r="A10" s="15"/>
      <c r="B10" s="205" t="s">
        <v>340</v>
      </c>
      <c r="C10" s="206" t="s">
        <v>334</v>
      </c>
      <c r="D10" s="207" t="s">
        <v>336</v>
      </c>
      <c r="E10" s="208">
        <f t="shared" si="0"/>
        <v>150</v>
      </c>
      <c r="F10" s="139"/>
      <c r="G10" s="139"/>
      <c r="H10" s="205" t="s">
        <v>339</v>
      </c>
      <c r="I10" s="206" t="s">
        <v>334</v>
      </c>
      <c r="J10" s="207" t="s">
        <v>336</v>
      </c>
      <c r="K10" s="208">
        <f t="shared" si="1"/>
        <v>240</v>
      </c>
      <c r="L10" s="139"/>
      <c r="M10" s="147"/>
      <c r="N10" s="224" t="s">
        <v>311</v>
      </c>
      <c r="O10" s="224"/>
      <c r="P10" s="224"/>
    </row>
    <row r="11" spans="1:17" ht="15.75" customHeight="1" x14ac:dyDescent="0.25">
      <c r="A11" s="15"/>
      <c r="B11" s="205" t="s">
        <v>340</v>
      </c>
      <c r="C11" s="206" t="s">
        <v>338</v>
      </c>
      <c r="D11" s="207" t="s">
        <v>334</v>
      </c>
      <c r="E11" s="208">
        <f t="shared" si="0"/>
        <v>250</v>
      </c>
      <c r="F11" s="139"/>
      <c r="G11" s="139"/>
      <c r="H11" s="205" t="s">
        <v>339</v>
      </c>
      <c r="I11" s="206" t="s">
        <v>338</v>
      </c>
      <c r="J11" s="207" t="s">
        <v>334</v>
      </c>
      <c r="K11" s="208">
        <f t="shared" si="1"/>
        <v>400</v>
      </c>
      <c r="L11" s="139"/>
      <c r="M11" s="147"/>
      <c r="N11" s="224"/>
      <c r="O11" s="224"/>
      <c r="P11" s="224"/>
    </row>
    <row r="12" spans="1:17" x14ac:dyDescent="0.25">
      <c r="A12" s="15"/>
      <c r="B12" s="205" t="s">
        <v>340</v>
      </c>
      <c r="C12" s="206" t="s">
        <v>335</v>
      </c>
      <c r="D12" s="207" t="s">
        <v>334</v>
      </c>
      <c r="E12" s="208">
        <f t="shared" si="0"/>
        <v>300</v>
      </c>
      <c r="F12" s="139"/>
      <c r="G12" s="139"/>
      <c r="H12" s="205" t="s">
        <v>339</v>
      </c>
      <c r="I12" s="206" t="s">
        <v>335</v>
      </c>
      <c r="J12" s="207" t="s">
        <v>334</v>
      </c>
      <c r="K12" s="208">
        <f t="shared" si="1"/>
        <v>480</v>
      </c>
      <c r="L12" s="139"/>
      <c r="M12" s="147"/>
      <c r="N12" s="96" t="s">
        <v>313</v>
      </c>
      <c r="O12" s="48" t="s">
        <v>5</v>
      </c>
      <c r="P12" s="139"/>
    </row>
    <row r="13" spans="1:17" x14ac:dyDescent="0.25">
      <c r="A13" s="15"/>
      <c r="B13" s="141" t="s">
        <v>172</v>
      </c>
      <c r="C13" s="151"/>
      <c r="D13" s="151"/>
      <c r="E13" s="140">
        <v>40</v>
      </c>
      <c r="F13" s="139"/>
      <c r="G13" s="99"/>
      <c r="H13" s="152"/>
      <c r="I13" s="99" t="s">
        <v>343</v>
      </c>
      <c r="J13" s="99"/>
      <c r="K13" s="99"/>
      <c r="L13" s="126"/>
      <c r="M13" s="126"/>
      <c r="N13" s="141" t="s">
        <v>171</v>
      </c>
      <c r="O13" s="191">
        <v>18</v>
      </c>
      <c r="P13" s="126"/>
    </row>
    <row r="14" spans="1:17" x14ac:dyDescent="0.25">
      <c r="A14" s="15"/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26"/>
      <c r="M14" s="126"/>
      <c r="N14" s="126"/>
      <c r="O14" s="126"/>
      <c r="P14" s="126"/>
    </row>
    <row r="15" spans="1:17" x14ac:dyDescent="0.25"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</row>
    <row r="18" spans="2:18" x14ac:dyDescent="0.25">
      <c r="P18"/>
    </row>
    <row r="20" spans="2:18" x14ac:dyDescent="0.25">
      <c r="J20"/>
    </row>
    <row r="21" spans="2:18" x14ac:dyDescent="0.25">
      <c r="C21" s="39"/>
      <c r="D21" s="40"/>
      <c r="H21" s="16" t="s">
        <v>315</v>
      </c>
      <c r="I21" s="39">
        <v>70</v>
      </c>
    </row>
    <row r="22" spans="2:18" x14ac:dyDescent="0.25">
      <c r="C22" s="39"/>
      <c r="D22" s="40"/>
      <c r="H22" s="16" t="s">
        <v>316</v>
      </c>
      <c r="I22" s="39">
        <v>90</v>
      </c>
      <c r="N22"/>
    </row>
    <row r="24" spans="2:18" x14ac:dyDescent="0.25">
      <c r="G24" s="40"/>
    </row>
    <row r="25" spans="2:18" x14ac:dyDescent="0.25">
      <c r="B25" s="166" t="s">
        <v>225</v>
      </c>
      <c r="C25" s="166"/>
      <c r="D25" s="140">
        <v>3.5</v>
      </c>
      <c r="J25"/>
    </row>
    <row r="26" spans="2:18" x14ac:dyDescent="0.25">
      <c r="B26" s="16" t="s">
        <v>223</v>
      </c>
      <c r="D26" s="140">
        <v>290</v>
      </c>
      <c r="E26" s="16" t="s">
        <v>224</v>
      </c>
    </row>
    <row r="32" spans="2:18" x14ac:dyDescent="0.25">
      <c r="R32" s="190"/>
    </row>
  </sheetData>
  <mergeCells count="8">
    <mergeCell ref="N10:P11"/>
    <mergeCell ref="A2:O2"/>
    <mergeCell ref="B4:F5"/>
    <mergeCell ref="H4:L5"/>
    <mergeCell ref="N4:P5"/>
    <mergeCell ref="B6:F6"/>
    <mergeCell ref="H6:L6"/>
    <mergeCell ref="N6:P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7"/>
  <sheetViews>
    <sheetView showGridLines="0" workbookViewId="0">
      <selection activeCell="G12" sqref="G12"/>
    </sheetView>
  </sheetViews>
  <sheetFormatPr defaultRowHeight="15.75" x14ac:dyDescent="0.25"/>
  <cols>
    <col min="1" max="1" width="3" style="16" customWidth="1"/>
    <col min="2" max="2" width="14.28515625" style="16" bestFit="1" customWidth="1"/>
    <col min="3" max="3" width="9" style="16" bestFit="1" customWidth="1"/>
    <col min="4" max="4" width="12.42578125" style="16" bestFit="1" customWidth="1"/>
    <col min="5" max="5" width="6.28515625" style="16" customWidth="1"/>
    <col min="6" max="6" width="15.7109375" style="16" customWidth="1"/>
    <col min="7" max="7" width="9" style="16" customWidth="1"/>
    <col min="8" max="8" width="9.28515625" style="16" customWidth="1"/>
    <col min="9" max="9" width="4.140625" style="16" customWidth="1"/>
    <col min="10" max="10" width="14.28515625" style="16" bestFit="1" customWidth="1"/>
    <col min="11" max="11" width="12" style="16" bestFit="1" customWidth="1"/>
    <col min="12" max="12" width="12.42578125" style="16" bestFit="1" customWidth="1"/>
    <col min="13" max="13" width="10.5703125" style="16" bestFit="1" customWidth="1"/>
    <col min="14" max="14" width="12.28515625" style="16" customWidth="1"/>
    <col min="15" max="17" width="9.140625" style="16"/>
    <col min="18" max="18" width="7.140625" style="16" customWidth="1"/>
    <col min="19" max="19" width="9.140625" style="16"/>
    <col min="20" max="20" width="10.140625" style="16" bestFit="1" customWidth="1"/>
    <col min="21" max="22" width="10.5703125" style="16" bestFit="1" customWidth="1"/>
    <col min="23" max="255" width="9.140625" style="16"/>
    <col min="256" max="256" width="3" style="16" customWidth="1"/>
    <col min="257" max="263" width="14.42578125" style="16" customWidth="1"/>
    <col min="264" max="264" width="3" style="16" customWidth="1"/>
    <col min="265" max="266" width="11.85546875" style="16" bestFit="1" customWidth="1"/>
    <col min="267" max="511" width="9.140625" style="16"/>
    <col min="512" max="512" width="3" style="16" customWidth="1"/>
    <col min="513" max="519" width="14.42578125" style="16" customWidth="1"/>
    <col min="520" max="520" width="3" style="16" customWidth="1"/>
    <col min="521" max="522" width="11.85546875" style="16" bestFit="1" customWidth="1"/>
    <col min="523" max="767" width="9.140625" style="16"/>
    <col min="768" max="768" width="3" style="16" customWidth="1"/>
    <col min="769" max="775" width="14.42578125" style="16" customWidth="1"/>
    <col min="776" max="776" width="3" style="16" customWidth="1"/>
    <col min="777" max="778" width="11.85546875" style="16" bestFit="1" customWidth="1"/>
    <col min="779" max="1023" width="9.140625" style="16"/>
    <col min="1024" max="1024" width="3" style="16" customWidth="1"/>
    <col min="1025" max="1031" width="14.42578125" style="16" customWidth="1"/>
    <col min="1032" max="1032" width="3" style="16" customWidth="1"/>
    <col min="1033" max="1034" width="11.85546875" style="16" bestFit="1" customWidth="1"/>
    <col min="1035" max="1279" width="9.140625" style="16"/>
    <col min="1280" max="1280" width="3" style="16" customWidth="1"/>
    <col min="1281" max="1287" width="14.42578125" style="16" customWidth="1"/>
    <col min="1288" max="1288" width="3" style="16" customWidth="1"/>
    <col min="1289" max="1290" width="11.85546875" style="16" bestFit="1" customWidth="1"/>
    <col min="1291" max="1535" width="9.140625" style="16"/>
    <col min="1536" max="1536" width="3" style="16" customWidth="1"/>
    <col min="1537" max="1543" width="14.42578125" style="16" customWidth="1"/>
    <col min="1544" max="1544" width="3" style="16" customWidth="1"/>
    <col min="1545" max="1546" width="11.85546875" style="16" bestFit="1" customWidth="1"/>
    <col min="1547" max="1791" width="9.140625" style="16"/>
    <col min="1792" max="1792" width="3" style="16" customWidth="1"/>
    <col min="1793" max="1799" width="14.42578125" style="16" customWidth="1"/>
    <col min="1800" max="1800" width="3" style="16" customWidth="1"/>
    <col min="1801" max="1802" width="11.85546875" style="16" bestFit="1" customWidth="1"/>
    <col min="1803" max="2047" width="9.140625" style="16"/>
    <col min="2048" max="2048" width="3" style="16" customWidth="1"/>
    <col min="2049" max="2055" width="14.42578125" style="16" customWidth="1"/>
    <col min="2056" max="2056" width="3" style="16" customWidth="1"/>
    <col min="2057" max="2058" width="11.85546875" style="16" bestFit="1" customWidth="1"/>
    <col min="2059" max="2303" width="9.140625" style="16"/>
    <col min="2304" max="2304" width="3" style="16" customWidth="1"/>
    <col min="2305" max="2311" width="14.42578125" style="16" customWidth="1"/>
    <col min="2312" max="2312" width="3" style="16" customWidth="1"/>
    <col min="2313" max="2314" width="11.85546875" style="16" bestFit="1" customWidth="1"/>
    <col min="2315" max="2559" width="9.140625" style="16"/>
    <col min="2560" max="2560" width="3" style="16" customWidth="1"/>
    <col min="2561" max="2567" width="14.42578125" style="16" customWidth="1"/>
    <col min="2568" max="2568" width="3" style="16" customWidth="1"/>
    <col min="2569" max="2570" width="11.85546875" style="16" bestFit="1" customWidth="1"/>
    <col min="2571" max="2815" width="9.140625" style="16"/>
    <col min="2816" max="2816" width="3" style="16" customWidth="1"/>
    <col min="2817" max="2823" width="14.42578125" style="16" customWidth="1"/>
    <col min="2824" max="2824" width="3" style="16" customWidth="1"/>
    <col min="2825" max="2826" width="11.85546875" style="16" bestFit="1" customWidth="1"/>
    <col min="2827" max="3071" width="9.140625" style="16"/>
    <col min="3072" max="3072" width="3" style="16" customWidth="1"/>
    <col min="3073" max="3079" width="14.42578125" style="16" customWidth="1"/>
    <col min="3080" max="3080" width="3" style="16" customWidth="1"/>
    <col min="3081" max="3082" width="11.85546875" style="16" bestFit="1" customWidth="1"/>
    <col min="3083" max="3327" width="9.140625" style="16"/>
    <col min="3328" max="3328" width="3" style="16" customWidth="1"/>
    <col min="3329" max="3335" width="14.42578125" style="16" customWidth="1"/>
    <col min="3336" max="3336" width="3" style="16" customWidth="1"/>
    <col min="3337" max="3338" width="11.85546875" style="16" bestFit="1" customWidth="1"/>
    <col min="3339" max="3583" width="9.140625" style="16"/>
    <col min="3584" max="3584" width="3" style="16" customWidth="1"/>
    <col min="3585" max="3591" width="14.42578125" style="16" customWidth="1"/>
    <col min="3592" max="3592" width="3" style="16" customWidth="1"/>
    <col min="3593" max="3594" width="11.85546875" style="16" bestFit="1" customWidth="1"/>
    <col min="3595" max="3839" width="9.140625" style="16"/>
    <col min="3840" max="3840" width="3" style="16" customWidth="1"/>
    <col min="3841" max="3847" width="14.42578125" style="16" customWidth="1"/>
    <col min="3848" max="3848" width="3" style="16" customWidth="1"/>
    <col min="3849" max="3850" width="11.85546875" style="16" bestFit="1" customWidth="1"/>
    <col min="3851" max="4095" width="9.140625" style="16"/>
    <col min="4096" max="4096" width="3" style="16" customWidth="1"/>
    <col min="4097" max="4103" width="14.42578125" style="16" customWidth="1"/>
    <col min="4104" max="4104" width="3" style="16" customWidth="1"/>
    <col min="4105" max="4106" width="11.85546875" style="16" bestFit="1" customWidth="1"/>
    <col min="4107" max="4351" width="9.140625" style="16"/>
    <col min="4352" max="4352" width="3" style="16" customWidth="1"/>
    <col min="4353" max="4359" width="14.42578125" style="16" customWidth="1"/>
    <col min="4360" max="4360" width="3" style="16" customWidth="1"/>
    <col min="4361" max="4362" width="11.85546875" style="16" bestFit="1" customWidth="1"/>
    <col min="4363" max="4607" width="9.140625" style="16"/>
    <col min="4608" max="4608" width="3" style="16" customWidth="1"/>
    <col min="4609" max="4615" width="14.42578125" style="16" customWidth="1"/>
    <col min="4616" max="4616" width="3" style="16" customWidth="1"/>
    <col min="4617" max="4618" width="11.85546875" style="16" bestFit="1" customWidth="1"/>
    <col min="4619" max="4863" width="9.140625" style="16"/>
    <col min="4864" max="4864" width="3" style="16" customWidth="1"/>
    <col min="4865" max="4871" width="14.42578125" style="16" customWidth="1"/>
    <col min="4872" max="4872" width="3" style="16" customWidth="1"/>
    <col min="4873" max="4874" width="11.85546875" style="16" bestFit="1" customWidth="1"/>
    <col min="4875" max="5119" width="9.140625" style="16"/>
    <col min="5120" max="5120" width="3" style="16" customWidth="1"/>
    <col min="5121" max="5127" width="14.42578125" style="16" customWidth="1"/>
    <col min="5128" max="5128" width="3" style="16" customWidth="1"/>
    <col min="5129" max="5130" width="11.85546875" style="16" bestFit="1" customWidth="1"/>
    <col min="5131" max="5375" width="9.140625" style="16"/>
    <col min="5376" max="5376" width="3" style="16" customWidth="1"/>
    <col min="5377" max="5383" width="14.42578125" style="16" customWidth="1"/>
    <col min="5384" max="5384" width="3" style="16" customWidth="1"/>
    <col min="5385" max="5386" width="11.85546875" style="16" bestFit="1" customWidth="1"/>
    <col min="5387" max="5631" width="9.140625" style="16"/>
    <col min="5632" max="5632" width="3" style="16" customWidth="1"/>
    <col min="5633" max="5639" width="14.42578125" style="16" customWidth="1"/>
    <col min="5640" max="5640" width="3" style="16" customWidth="1"/>
    <col min="5641" max="5642" width="11.85546875" style="16" bestFit="1" customWidth="1"/>
    <col min="5643" max="5887" width="9.140625" style="16"/>
    <col min="5888" max="5888" width="3" style="16" customWidth="1"/>
    <col min="5889" max="5895" width="14.42578125" style="16" customWidth="1"/>
    <col min="5896" max="5896" width="3" style="16" customWidth="1"/>
    <col min="5897" max="5898" width="11.85546875" style="16" bestFit="1" customWidth="1"/>
    <col min="5899" max="6143" width="9.140625" style="16"/>
    <col min="6144" max="6144" width="3" style="16" customWidth="1"/>
    <col min="6145" max="6151" width="14.42578125" style="16" customWidth="1"/>
    <col min="6152" max="6152" width="3" style="16" customWidth="1"/>
    <col min="6153" max="6154" width="11.85546875" style="16" bestFit="1" customWidth="1"/>
    <col min="6155" max="6399" width="9.140625" style="16"/>
    <col min="6400" max="6400" width="3" style="16" customWidth="1"/>
    <col min="6401" max="6407" width="14.42578125" style="16" customWidth="1"/>
    <col min="6408" max="6408" width="3" style="16" customWidth="1"/>
    <col min="6409" max="6410" width="11.85546875" style="16" bestFit="1" customWidth="1"/>
    <col min="6411" max="6655" width="9.140625" style="16"/>
    <col min="6656" max="6656" width="3" style="16" customWidth="1"/>
    <col min="6657" max="6663" width="14.42578125" style="16" customWidth="1"/>
    <col min="6664" max="6664" width="3" style="16" customWidth="1"/>
    <col min="6665" max="6666" width="11.85546875" style="16" bestFit="1" customWidth="1"/>
    <col min="6667" max="6911" width="9.140625" style="16"/>
    <col min="6912" max="6912" width="3" style="16" customWidth="1"/>
    <col min="6913" max="6919" width="14.42578125" style="16" customWidth="1"/>
    <col min="6920" max="6920" width="3" style="16" customWidth="1"/>
    <col min="6921" max="6922" width="11.85546875" style="16" bestFit="1" customWidth="1"/>
    <col min="6923" max="7167" width="9.140625" style="16"/>
    <col min="7168" max="7168" width="3" style="16" customWidth="1"/>
    <col min="7169" max="7175" width="14.42578125" style="16" customWidth="1"/>
    <col min="7176" max="7176" width="3" style="16" customWidth="1"/>
    <col min="7177" max="7178" width="11.85546875" style="16" bestFit="1" customWidth="1"/>
    <col min="7179" max="7423" width="9.140625" style="16"/>
    <col min="7424" max="7424" width="3" style="16" customWidth="1"/>
    <col min="7425" max="7431" width="14.42578125" style="16" customWidth="1"/>
    <col min="7432" max="7432" width="3" style="16" customWidth="1"/>
    <col min="7433" max="7434" width="11.85546875" style="16" bestFit="1" customWidth="1"/>
    <col min="7435" max="7679" width="9.140625" style="16"/>
    <col min="7680" max="7680" width="3" style="16" customWidth="1"/>
    <col min="7681" max="7687" width="14.42578125" style="16" customWidth="1"/>
    <col min="7688" max="7688" width="3" style="16" customWidth="1"/>
    <col min="7689" max="7690" width="11.85546875" style="16" bestFit="1" customWidth="1"/>
    <col min="7691" max="7935" width="9.140625" style="16"/>
    <col min="7936" max="7936" width="3" style="16" customWidth="1"/>
    <col min="7937" max="7943" width="14.42578125" style="16" customWidth="1"/>
    <col min="7944" max="7944" width="3" style="16" customWidth="1"/>
    <col min="7945" max="7946" width="11.85546875" style="16" bestFit="1" customWidth="1"/>
    <col min="7947" max="8191" width="9.140625" style="16"/>
    <col min="8192" max="8192" width="3" style="16" customWidth="1"/>
    <col min="8193" max="8199" width="14.42578125" style="16" customWidth="1"/>
    <col min="8200" max="8200" width="3" style="16" customWidth="1"/>
    <col min="8201" max="8202" width="11.85546875" style="16" bestFit="1" customWidth="1"/>
    <col min="8203" max="8447" width="9.140625" style="16"/>
    <col min="8448" max="8448" width="3" style="16" customWidth="1"/>
    <col min="8449" max="8455" width="14.42578125" style="16" customWidth="1"/>
    <col min="8456" max="8456" width="3" style="16" customWidth="1"/>
    <col min="8457" max="8458" width="11.85546875" style="16" bestFit="1" customWidth="1"/>
    <col min="8459" max="8703" width="9.140625" style="16"/>
    <col min="8704" max="8704" width="3" style="16" customWidth="1"/>
    <col min="8705" max="8711" width="14.42578125" style="16" customWidth="1"/>
    <col min="8712" max="8712" width="3" style="16" customWidth="1"/>
    <col min="8713" max="8714" width="11.85546875" style="16" bestFit="1" customWidth="1"/>
    <col min="8715" max="8959" width="9.140625" style="16"/>
    <col min="8960" max="8960" width="3" style="16" customWidth="1"/>
    <col min="8961" max="8967" width="14.42578125" style="16" customWidth="1"/>
    <col min="8968" max="8968" width="3" style="16" customWidth="1"/>
    <col min="8969" max="8970" width="11.85546875" style="16" bestFit="1" customWidth="1"/>
    <col min="8971" max="9215" width="9.140625" style="16"/>
    <col min="9216" max="9216" width="3" style="16" customWidth="1"/>
    <col min="9217" max="9223" width="14.42578125" style="16" customWidth="1"/>
    <col min="9224" max="9224" width="3" style="16" customWidth="1"/>
    <col min="9225" max="9226" width="11.85546875" style="16" bestFit="1" customWidth="1"/>
    <col min="9227" max="9471" width="9.140625" style="16"/>
    <col min="9472" max="9472" width="3" style="16" customWidth="1"/>
    <col min="9473" max="9479" width="14.42578125" style="16" customWidth="1"/>
    <col min="9480" max="9480" width="3" style="16" customWidth="1"/>
    <col min="9481" max="9482" width="11.85546875" style="16" bestFit="1" customWidth="1"/>
    <col min="9483" max="9727" width="9.140625" style="16"/>
    <col min="9728" max="9728" width="3" style="16" customWidth="1"/>
    <col min="9729" max="9735" width="14.42578125" style="16" customWidth="1"/>
    <col min="9736" max="9736" width="3" style="16" customWidth="1"/>
    <col min="9737" max="9738" width="11.85546875" style="16" bestFit="1" customWidth="1"/>
    <col min="9739" max="9983" width="9.140625" style="16"/>
    <col min="9984" max="9984" width="3" style="16" customWidth="1"/>
    <col min="9985" max="9991" width="14.42578125" style="16" customWidth="1"/>
    <col min="9992" max="9992" width="3" style="16" customWidth="1"/>
    <col min="9993" max="9994" width="11.85546875" style="16" bestFit="1" customWidth="1"/>
    <col min="9995" max="10239" width="9.140625" style="16"/>
    <col min="10240" max="10240" width="3" style="16" customWidth="1"/>
    <col min="10241" max="10247" width="14.42578125" style="16" customWidth="1"/>
    <col min="10248" max="10248" width="3" style="16" customWidth="1"/>
    <col min="10249" max="10250" width="11.85546875" style="16" bestFit="1" customWidth="1"/>
    <col min="10251" max="10495" width="9.140625" style="16"/>
    <col min="10496" max="10496" width="3" style="16" customWidth="1"/>
    <col min="10497" max="10503" width="14.42578125" style="16" customWidth="1"/>
    <col min="10504" max="10504" width="3" style="16" customWidth="1"/>
    <col min="10505" max="10506" width="11.85546875" style="16" bestFit="1" customWidth="1"/>
    <col min="10507" max="10751" width="9.140625" style="16"/>
    <col min="10752" max="10752" width="3" style="16" customWidth="1"/>
    <col min="10753" max="10759" width="14.42578125" style="16" customWidth="1"/>
    <col min="10760" max="10760" width="3" style="16" customWidth="1"/>
    <col min="10761" max="10762" width="11.85546875" style="16" bestFit="1" customWidth="1"/>
    <col min="10763" max="11007" width="9.140625" style="16"/>
    <col min="11008" max="11008" width="3" style="16" customWidth="1"/>
    <col min="11009" max="11015" width="14.42578125" style="16" customWidth="1"/>
    <col min="11016" max="11016" width="3" style="16" customWidth="1"/>
    <col min="11017" max="11018" width="11.85546875" style="16" bestFit="1" customWidth="1"/>
    <col min="11019" max="11263" width="9.140625" style="16"/>
    <col min="11264" max="11264" width="3" style="16" customWidth="1"/>
    <col min="11265" max="11271" width="14.42578125" style="16" customWidth="1"/>
    <col min="11272" max="11272" width="3" style="16" customWidth="1"/>
    <col min="11273" max="11274" width="11.85546875" style="16" bestFit="1" customWidth="1"/>
    <col min="11275" max="11519" width="9.140625" style="16"/>
    <col min="11520" max="11520" width="3" style="16" customWidth="1"/>
    <col min="11521" max="11527" width="14.42578125" style="16" customWidth="1"/>
    <col min="11528" max="11528" width="3" style="16" customWidth="1"/>
    <col min="11529" max="11530" width="11.85546875" style="16" bestFit="1" customWidth="1"/>
    <col min="11531" max="11775" width="9.140625" style="16"/>
    <col min="11776" max="11776" width="3" style="16" customWidth="1"/>
    <col min="11777" max="11783" width="14.42578125" style="16" customWidth="1"/>
    <col min="11784" max="11784" width="3" style="16" customWidth="1"/>
    <col min="11785" max="11786" width="11.85546875" style="16" bestFit="1" customWidth="1"/>
    <col min="11787" max="12031" width="9.140625" style="16"/>
    <col min="12032" max="12032" width="3" style="16" customWidth="1"/>
    <col min="12033" max="12039" width="14.42578125" style="16" customWidth="1"/>
    <col min="12040" max="12040" width="3" style="16" customWidth="1"/>
    <col min="12041" max="12042" width="11.85546875" style="16" bestFit="1" customWidth="1"/>
    <col min="12043" max="12287" width="9.140625" style="16"/>
    <col min="12288" max="12288" width="3" style="16" customWidth="1"/>
    <col min="12289" max="12295" width="14.42578125" style="16" customWidth="1"/>
    <col min="12296" max="12296" width="3" style="16" customWidth="1"/>
    <col min="12297" max="12298" width="11.85546875" style="16" bestFit="1" customWidth="1"/>
    <col min="12299" max="12543" width="9.140625" style="16"/>
    <col min="12544" max="12544" width="3" style="16" customWidth="1"/>
    <col min="12545" max="12551" width="14.42578125" style="16" customWidth="1"/>
    <col min="12552" max="12552" width="3" style="16" customWidth="1"/>
    <col min="12553" max="12554" width="11.85546875" style="16" bestFit="1" customWidth="1"/>
    <col min="12555" max="12799" width="9.140625" style="16"/>
    <col min="12800" max="12800" width="3" style="16" customWidth="1"/>
    <col min="12801" max="12807" width="14.42578125" style="16" customWidth="1"/>
    <col min="12808" max="12808" width="3" style="16" customWidth="1"/>
    <col min="12809" max="12810" width="11.85546875" style="16" bestFit="1" customWidth="1"/>
    <col min="12811" max="13055" width="9.140625" style="16"/>
    <col min="13056" max="13056" width="3" style="16" customWidth="1"/>
    <col min="13057" max="13063" width="14.42578125" style="16" customWidth="1"/>
    <col min="13064" max="13064" width="3" style="16" customWidth="1"/>
    <col min="13065" max="13066" width="11.85546875" style="16" bestFit="1" customWidth="1"/>
    <col min="13067" max="13311" width="9.140625" style="16"/>
    <col min="13312" max="13312" width="3" style="16" customWidth="1"/>
    <col min="13313" max="13319" width="14.42578125" style="16" customWidth="1"/>
    <col min="13320" max="13320" width="3" style="16" customWidth="1"/>
    <col min="13321" max="13322" width="11.85546875" style="16" bestFit="1" customWidth="1"/>
    <col min="13323" max="13567" width="9.140625" style="16"/>
    <col min="13568" max="13568" width="3" style="16" customWidth="1"/>
    <col min="13569" max="13575" width="14.42578125" style="16" customWidth="1"/>
    <col min="13576" max="13576" width="3" style="16" customWidth="1"/>
    <col min="13577" max="13578" width="11.85546875" style="16" bestFit="1" customWidth="1"/>
    <col min="13579" max="13823" width="9.140625" style="16"/>
    <col min="13824" max="13824" width="3" style="16" customWidth="1"/>
    <col min="13825" max="13831" width="14.42578125" style="16" customWidth="1"/>
    <col min="13832" max="13832" width="3" style="16" customWidth="1"/>
    <col min="13833" max="13834" width="11.85546875" style="16" bestFit="1" customWidth="1"/>
    <col min="13835" max="14079" width="9.140625" style="16"/>
    <col min="14080" max="14080" width="3" style="16" customWidth="1"/>
    <col min="14081" max="14087" width="14.42578125" style="16" customWidth="1"/>
    <col min="14088" max="14088" width="3" style="16" customWidth="1"/>
    <col min="14089" max="14090" width="11.85546875" style="16" bestFit="1" customWidth="1"/>
    <col min="14091" max="14335" width="9.140625" style="16"/>
    <col min="14336" max="14336" width="3" style="16" customWidth="1"/>
    <col min="14337" max="14343" width="14.42578125" style="16" customWidth="1"/>
    <col min="14344" max="14344" width="3" style="16" customWidth="1"/>
    <col min="14345" max="14346" width="11.85546875" style="16" bestFit="1" customWidth="1"/>
    <col min="14347" max="14591" width="9.140625" style="16"/>
    <col min="14592" max="14592" width="3" style="16" customWidth="1"/>
    <col min="14593" max="14599" width="14.42578125" style="16" customWidth="1"/>
    <col min="14600" max="14600" width="3" style="16" customWidth="1"/>
    <col min="14601" max="14602" width="11.85546875" style="16" bestFit="1" customWidth="1"/>
    <col min="14603" max="14847" width="9.140625" style="16"/>
    <col min="14848" max="14848" width="3" style="16" customWidth="1"/>
    <col min="14849" max="14855" width="14.42578125" style="16" customWidth="1"/>
    <col min="14856" max="14856" width="3" style="16" customWidth="1"/>
    <col min="14857" max="14858" width="11.85546875" style="16" bestFit="1" customWidth="1"/>
    <col min="14859" max="15103" width="9.140625" style="16"/>
    <col min="15104" max="15104" width="3" style="16" customWidth="1"/>
    <col min="15105" max="15111" width="14.42578125" style="16" customWidth="1"/>
    <col min="15112" max="15112" width="3" style="16" customWidth="1"/>
    <col min="15113" max="15114" width="11.85546875" style="16" bestFit="1" customWidth="1"/>
    <col min="15115" max="15359" width="9.140625" style="16"/>
    <col min="15360" max="15360" width="3" style="16" customWidth="1"/>
    <col min="15361" max="15367" width="14.42578125" style="16" customWidth="1"/>
    <col min="15368" max="15368" width="3" style="16" customWidth="1"/>
    <col min="15369" max="15370" width="11.85546875" style="16" bestFit="1" customWidth="1"/>
    <col min="15371" max="15615" width="9.140625" style="16"/>
    <col min="15616" max="15616" width="3" style="16" customWidth="1"/>
    <col min="15617" max="15623" width="14.42578125" style="16" customWidth="1"/>
    <col min="15624" max="15624" width="3" style="16" customWidth="1"/>
    <col min="15625" max="15626" width="11.85546875" style="16" bestFit="1" customWidth="1"/>
    <col min="15627" max="15871" width="9.140625" style="16"/>
    <col min="15872" max="15872" width="3" style="16" customWidth="1"/>
    <col min="15873" max="15879" width="14.42578125" style="16" customWidth="1"/>
    <col min="15880" max="15880" width="3" style="16" customWidth="1"/>
    <col min="15881" max="15882" width="11.85546875" style="16" bestFit="1" customWidth="1"/>
    <col min="15883" max="16127" width="9.140625" style="16"/>
    <col min="16128" max="16128" width="3" style="16" customWidth="1"/>
    <col min="16129" max="16135" width="14.42578125" style="16" customWidth="1"/>
    <col min="16136" max="16136" width="3" style="16" customWidth="1"/>
    <col min="16137" max="16138" width="11.85546875" style="16" bestFit="1" customWidth="1"/>
    <col min="16139" max="16384" width="9.140625" style="16"/>
  </cols>
  <sheetData>
    <row r="1" spans="1:19" ht="15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9" ht="27.75" customHeight="1" x14ac:dyDescent="0.35">
      <c r="A2"/>
      <c r="B2" s="214" t="s">
        <v>212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1:19" ht="15.75" customHeight="1" x14ac:dyDescent="0.25">
      <c r="A3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9" ht="15.75" customHeight="1" x14ac:dyDescent="0.35">
      <c r="A4" s="15"/>
      <c r="B4" s="224" t="s">
        <v>173</v>
      </c>
      <c r="C4" s="224"/>
      <c r="D4" s="224"/>
      <c r="E4" s="19"/>
      <c r="F4" s="224" t="s">
        <v>173</v>
      </c>
      <c r="G4" s="224"/>
      <c r="H4" s="224"/>
      <c r="I4" s="19"/>
      <c r="J4" s="224" t="s">
        <v>174</v>
      </c>
      <c r="K4" s="224"/>
      <c r="L4" s="224"/>
      <c r="M4" s="227"/>
      <c r="N4" s="227"/>
      <c r="O4" s="227"/>
      <c r="P4" s="227"/>
      <c r="Q4" s="227"/>
      <c r="R4" s="227"/>
      <c r="S4" s="17"/>
    </row>
    <row r="5" spans="1:19" ht="15.75" customHeight="1" x14ac:dyDescent="0.35">
      <c r="A5" s="15"/>
      <c r="B5" s="224"/>
      <c r="C5" s="224"/>
      <c r="D5" s="224"/>
      <c r="E5" s="19"/>
      <c r="F5" s="224"/>
      <c r="G5" s="224"/>
      <c r="H5" s="224"/>
      <c r="I5" s="19"/>
      <c r="J5" s="224"/>
      <c r="K5" s="224"/>
      <c r="L5" s="224"/>
      <c r="M5" s="227"/>
      <c r="N5" s="227"/>
      <c r="O5" s="227"/>
      <c r="P5" s="227"/>
      <c r="Q5" s="227"/>
      <c r="R5" s="227"/>
      <c r="S5" s="17"/>
    </row>
    <row r="6" spans="1:19" x14ac:dyDescent="0.25">
      <c r="A6" s="15"/>
      <c r="B6" s="226" t="s">
        <v>175</v>
      </c>
      <c r="C6" s="226"/>
      <c r="D6" s="226"/>
      <c r="E6" s="99"/>
      <c r="F6" s="226" t="s">
        <v>175</v>
      </c>
      <c r="G6" s="226"/>
      <c r="H6" s="226"/>
      <c r="I6" s="155"/>
      <c r="J6" s="226"/>
      <c r="K6" s="226"/>
      <c r="L6" s="226"/>
      <c r="M6" s="137"/>
      <c r="N6" s="17"/>
      <c r="O6" s="17"/>
      <c r="P6" s="17"/>
      <c r="Q6" s="17"/>
      <c r="R6" s="17"/>
      <c r="S6" s="17"/>
    </row>
    <row r="7" spans="1:19" x14ac:dyDescent="0.25">
      <c r="A7" s="15"/>
      <c r="B7" s="99"/>
      <c r="C7" s="152"/>
      <c r="D7" s="99"/>
      <c r="E7" s="99"/>
      <c r="F7" s="226"/>
      <c r="G7" s="226"/>
      <c r="H7" s="226"/>
      <c r="I7" s="155"/>
      <c r="J7" s="226"/>
      <c r="K7" s="226"/>
      <c r="L7" s="226"/>
      <c r="M7" s="137"/>
      <c r="N7" s="17"/>
      <c r="O7" s="17"/>
      <c r="P7" s="17"/>
      <c r="Q7" s="17"/>
      <c r="R7" s="17"/>
      <c r="S7" s="17"/>
    </row>
    <row r="8" spans="1:19" x14ac:dyDescent="0.25">
      <c r="A8" s="15"/>
      <c r="B8" s="47" t="s">
        <v>66</v>
      </c>
      <c r="C8" s="48" t="s">
        <v>5</v>
      </c>
      <c r="D8" s="48"/>
      <c r="E8" s="48"/>
      <c r="F8" s="78" t="s">
        <v>66</v>
      </c>
      <c r="G8" s="48" t="s">
        <v>5</v>
      </c>
      <c r="H8" s="48"/>
      <c r="I8" s="154"/>
      <c r="J8" s="47" t="s">
        <v>66</v>
      </c>
      <c r="K8" s="48" t="s">
        <v>5</v>
      </c>
      <c r="L8" s="48"/>
      <c r="M8" s="137"/>
      <c r="N8" s="17"/>
      <c r="O8" s="17"/>
      <c r="P8" s="17"/>
      <c r="Q8" s="17"/>
      <c r="R8" s="17"/>
      <c r="S8" s="17"/>
    </row>
    <row r="9" spans="1:19" ht="6" customHeight="1" x14ac:dyDescent="0.25">
      <c r="A9" s="15"/>
      <c r="B9" s="47"/>
      <c r="C9" s="13"/>
      <c r="D9" s="13"/>
      <c r="E9" s="13"/>
      <c r="F9" s="78"/>
      <c r="G9" s="13"/>
      <c r="H9" s="13"/>
      <c r="I9" s="22"/>
      <c r="J9" s="47"/>
      <c r="K9" s="13"/>
      <c r="L9" s="13"/>
      <c r="M9" s="147"/>
      <c r="N9" s="21"/>
      <c r="O9" s="21"/>
      <c r="P9" s="20"/>
      <c r="Q9" s="20"/>
      <c r="R9" s="20"/>
      <c r="S9" s="17"/>
    </row>
    <row r="10" spans="1:19" x14ac:dyDescent="0.25">
      <c r="A10" s="15"/>
      <c r="B10" s="50" t="s">
        <v>184</v>
      </c>
      <c r="C10" s="139">
        <v>30</v>
      </c>
      <c r="D10" s="38" t="s">
        <v>178</v>
      </c>
      <c r="E10" s="139"/>
      <c r="F10" s="61" t="s">
        <v>184</v>
      </c>
      <c r="G10" s="139">
        <f>+C10+5</f>
        <v>35</v>
      </c>
      <c r="H10" s="156" t="s">
        <v>179</v>
      </c>
      <c r="I10" s="150"/>
      <c r="J10" s="50" t="s">
        <v>184</v>
      </c>
      <c r="K10" s="139">
        <f>G10/2</f>
        <v>17.5</v>
      </c>
      <c r="L10" s="38" t="s">
        <v>178</v>
      </c>
      <c r="M10" s="147"/>
      <c r="N10" s="23"/>
      <c r="O10" s="24"/>
      <c r="P10" s="20"/>
      <c r="Q10" s="20"/>
      <c r="R10" s="20"/>
      <c r="S10" s="17"/>
    </row>
    <row r="11" spans="1:19" x14ac:dyDescent="0.25">
      <c r="A11" s="15"/>
      <c r="B11" s="50" t="s">
        <v>185</v>
      </c>
      <c r="C11" s="139">
        <v>27.5</v>
      </c>
      <c r="D11" s="38" t="s">
        <v>178</v>
      </c>
      <c r="E11" s="139"/>
      <c r="F11" s="61" t="s">
        <v>185</v>
      </c>
      <c r="G11" s="139">
        <f t="shared" ref="G11:G14" si="0">+C11+5</f>
        <v>32.5</v>
      </c>
      <c r="H11" s="156" t="s">
        <v>179</v>
      </c>
      <c r="I11" s="150"/>
      <c r="J11" s="50" t="s">
        <v>185</v>
      </c>
      <c r="K11" s="139">
        <f t="shared" ref="K11:K14" si="1">G11/2</f>
        <v>16.25</v>
      </c>
      <c r="L11" s="38" t="s">
        <v>178</v>
      </c>
      <c r="M11" s="147"/>
      <c r="N11" s="23"/>
      <c r="O11" s="24"/>
      <c r="P11" s="20"/>
      <c r="Q11" s="20"/>
      <c r="R11" s="20"/>
      <c r="S11" s="17"/>
    </row>
    <row r="12" spans="1:19" x14ac:dyDescent="0.25">
      <c r="A12" s="15"/>
      <c r="B12" s="50" t="s">
        <v>186</v>
      </c>
      <c r="C12" s="139">
        <v>26.5</v>
      </c>
      <c r="D12" s="38" t="s">
        <v>178</v>
      </c>
      <c r="E12" s="139"/>
      <c r="F12" s="61" t="s">
        <v>186</v>
      </c>
      <c r="G12" s="139">
        <f t="shared" si="0"/>
        <v>31.5</v>
      </c>
      <c r="H12" s="156" t="s">
        <v>179</v>
      </c>
      <c r="I12" s="150"/>
      <c r="J12" s="50" t="s">
        <v>186</v>
      </c>
      <c r="K12" s="139">
        <f t="shared" si="1"/>
        <v>15.75</v>
      </c>
      <c r="L12" s="38" t="s">
        <v>178</v>
      </c>
      <c r="M12" s="147"/>
      <c r="N12" s="23"/>
      <c r="O12" s="24"/>
      <c r="P12" s="20"/>
      <c r="Q12" s="20"/>
      <c r="R12" s="20"/>
      <c r="S12" s="17"/>
    </row>
    <row r="13" spans="1:19" x14ac:dyDescent="0.25">
      <c r="A13" s="15"/>
      <c r="B13" s="50" t="s">
        <v>187</v>
      </c>
      <c r="C13" s="139">
        <v>26</v>
      </c>
      <c r="D13" s="38" t="s">
        <v>178</v>
      </c>
      <c r="E13" s="139"/>
      <c r="F13" s="61" t="s">
        <v>187</v>
      </c>
      <c r="G13" s="139">
        <f t="shared" si="0"/>
        <v>31</v>
      </c>
      <c r="H13" s="156" t="s">
        <v>179</v>
      </c>
      <c r="I13" s="150"/>
      <c r="J13" s="50" t="s">
        <v>187</v>
      </c>
      <c r="K13" s="139">
        <f t="shared" si="1"/>
        <v>15.5</v>
      </c>
      <c r="L13" s="38" t="s">
        <v>178</v>
      </c>
      <c r="M13" s="147"/>
      <c r="N13" s="23"/>
      <c r="O13" s="24"/>
      <c r="P13" s="20"/>
      <c r="Q13" s="20"/>
      <c r="R13" s="20"/>
      <c r="S13" s="17"/>
    </row>
    <row r="14" spans="1:19" x14ac:dyDescent="0.25">
      <c r="A14" s="15"/>
      <c r="B14" s="50" t="s">
        <v>188</v>
      </c>
      <c r="C14" s="139">
        <v>25</v>
      </c>
      <c r="D14" s="38" t="s">
        <v>178</v>
      </c>
      <c r="E14" s="139"/>
      <c r="F14" s="61" t="s">
        <v>188</v>
      </c>
      <c r="G14" s="139">
        <f t="shared" si="0"/>
        <v>30</v>
      </c>
      <c r="H14" s="156" t="s">
        <v>179</v>
      </c>
      <c r="I14" s="150"/>
      <c r="J14" s="50" t="s">
        <v>188</v>
      </c>
      <c r="K14" s="139">
        <f t="shared" si="1"/>
        <v>15</v>
      </c>
      <c r="L14" s="38" t="s">
        <v>178</v>
      </c>
      <c r="M14" s="147"/>
      <c r="N14" s="23"/>
      <c r="O14" s="24"/>
      <c r="P14" s="20"/>
      <c r="Q14" s="20"/>
      <c r="R14" s="20"/>
      <c r="S14" s="17"/>
    </row>
    <row r="15" spans="1:19" x14ac:dyDescent="0.25">
      <c r="A15" s="15"/>
      <c r="B15" s="99"/>
      <c r="C15" s="99"/>
      <c r="D15" s="99"/>
      <c r="E15" s="99"/>
      <c r="F15" s="99"/>
      <c r="G15" s="99"/>
      <c r="H15" s="99"/>
      <c r="I15" s="99"/>
      <c r="J15" s="126"/>
      <c r="K15" s="126"/>
      <c r="L15" s="126"/>
      <c r="M15" s="126"/>
    </row>
    <row r="16" spans="1:19" ht="21" x14ac:dyDescent="0.35">
      <c r="A16" s="25"/>
      <c r="B16" s="157" t="s">
        <v>176</v>
      </c>
      <c r="C16" s="157"/>
      <c r="D16" s="157"/>
      <c r="E16" s="157"/>
      <c r="F16" s="158"/>
      <c r="G16" s="158"/>
      <c r="H16" s="157" t="s">
        <v>213</v>
      </c>
      <c r="I16" s="157"/>
      <c r="J16" s="157"/>
      <c r="K16" s="157"/>
      <c r="L16" s="157"/>
      <c r="M16" s="157"/>
      <c r="N16" s="26"/>
      <c r="O16" s="26"/>
      <c r="P16" s="26"/>
      <c r="Q16" s="26"/>
    </row>
    <row r="17" spans="1:14" x14ac:dyDescent="0.25">
      <c r="A17" s="15"/>
      <c r="B17" s="99"/>
      <c r="C17" s="99"/>
      <c r="D17" s="99"/>
      <c r="E17" s="99"/>
      <c r="F17" s="99"/>
      <c r="G17" s="99"/>
      <c r="H17" s="99"/>
      <c r="I17" s="99"/>
      <c r="J17" s="126"/>
      <c r="K17" s="126"/>
      <c r="L17" s="126"/>
      <c r="M17" s="126"/>
    </row>
    <row r="18" spans="1:14" ht="33.75" x14ac:dyDescent="0.5">
      <c r="A18" s="15"/>
      <c r="B18" s="159" t="s">
        <v>177</v>
      </c>
      <c r="C18" s="160"/>
      <c r="D18" s="161"/>
      <c r="E18" s="162"/>
      <c r="F18" s="163"/>
      <c r="G18" s="162"/>
      <c r="H18" s="162"/>
      <c r="I18" s="162"/>
      <c r="J18" s="164"/>
      <c r="K18" s="164"/>
      <c r="L18" s="126"/>
      <c r="M18" s="126"/>
    </row>
    <row r="19" spans="1:14" x14ac:dyDescent="0.25">
      <c r="A19" s="15"/>
      <c r="B19" s="229"/>
      <c r="C19" s="229"/>
      <c r="D19" s="27"/>
      <c r="E19" s="18"/>
      <c r="F19" s="18"/>
      <c r="G19" s="18"/>
      <c r="H19" s="18"/>
      <c r="I19" s="18"/>
      <c r="J19" s="8"/>
      <c r="K19" s="8"/>
      <c r="L19" s="8"/>
    </row>
    <row r="20" spans="1:14" x14ac:dyDescent="0.25">
      <c r="A20" s="15"/>
      <c r="B20" s="229"/>
      <c r="C20" s="229"/>
      <c r="D20" s="29"/>
      <c r="E20" s="28"/>
      <c r="F20" s="28"/>
      <c r="G20" s="30"/>
      <c r="H20" s="30"/>
      <c r="I20" s="30"/>
      <c r="J20" s="31"/>
      <c r="K20" s="31"/>
      <c r="L20" s="8"/>
    </row>
    <row r="21" spans="1:14" x14ac:dyDescent="0.25">
      <c r="A21" s="15"/>
      <c r="B21" s="229"/>
      <c r="C21" s="229"/>
      <c r="D21" s="27"/>
      <c r="E21" s="32"/>
      <c r="F21" s="32"/>
      <c r="G21" s="32"/>
      <c r="H21" s="32"/>
      <c r="I21" s="32"/>
      <c r="J21" s="32"/>
      <c r="K21" s="32"/>
      <c r="L21" s="14"/>
    </row>
    <row r="22" spans="1:14" x14ac:dyDescent="0.25">
      <c r="A22" s="15"/>
      <c r="B22" s="229"/>
      <c r="C22" s="229"/>
      <c r="D22" s="27"/>
      <c r="E22" s="18"/>
      <c r="F22" s="18"/>
      <c r="G22" s="18"/>
      <c r="H22" s="18"/>
      <c r="I22" s="18"/>
      <c r="J22" s="8"/>
      <c r="K22" s="8"/>
      <c r="L22" s="8"/>
    </row>
    <row r="23" spans="1:14" x14ac:dyDescent="0.25">
      <c r="A23" s="15"/>
      <c r="B23" s="229"/>
      <c r="C23" s="229"/>
      <c r="D23" s="27"/>
      <c r="E23" s="18"/>
      <c r="F23" s="33"/>
      <c r="G23" s="33"/>
      <c r="H23" s="33"/>
      <c r="I23" s="33"/>
      <c r="J23" s="8"/>
      <c r="K23" s="8"/>
      <c r="L23" s="8"/>
    </row>
    <row r="24" spans="1:14" x14ac:dyDescent="0.25">
      <c r="B24" s="229"/>
      <c r="C24" s="229"/>
      <c r="D24" s="27"/>
      <c r="E24" s="18"/>
    </row>
    <row r="25" spans="1:14" x14ac:dyDescent="0.25">
      <c r="B25" s="228"/>
      <c r="C25" s="228"/>
      <c r="D25" s="27"/>
      <c r="E25" s="34"/>
      <c r="F25" s="34"/>
      <c r="G25" s="34"/>
      <c r="H25" s="34"/>
      <c r="I25" s="35"/>
      <c r="J25" s="35"/>
      <c r="K25" s="35"/>
      <c r="L25" s="17"/>
      <c r="M25" s="17"/>
      <c r="N25" s="17"/>
    </row>
    <row r="26" spans="1:14" x14ac:dyDescent="0.25">
      <c r="B26" s="36"/>
      <c r="C26" s="37"/>
      <c r="D26" s="37"/>
      <c r="E26" s="37"/>
      <c r="F26" s="37"/>
      <c r="G26" s="37"/>
      <c r="H26" s="14"/>
    </row>
    <row r="27" spans="1:14" x14ac:dyDescent="0.25">
      <c r="B27" s="17"/>
      <c r="C27" s="17"/>
      <c r="D27" s="17"/>
      <c r="E27" s="17"/>
      <c r="F27" s="17"/>
      <c r="G27" s="17"/>
      <c r="H27" s="17"/>
    </row>
  </sheetData>
  <mergeCells count="17">
    <mergeCell ref="B25:C25"/>
    <mergeCell ref="B19:C19"/>
    <mergeCell ref="B20:C20"/>
    <mergeCell ref="B21:C21"/>
    <mergeCell ref="B22:C22"/>
    <mergeCell ref="B23:C23"/>
    <mergeCell ref="B24:C24"/>
    <mergeCell ref="J7:L7"/>
    <mergeCell ref="B4:D5"/>
    <mergeCell ref="F4:H5"/>
    <mergeCell ref="F7:H7"/>
    <mergeCell ref="B2:P2"/>
    <mergeCell ref="M4:R5"/>
    <mergeCell ref="B6:D6"/>
    <mergeCell ref="F6:H6"/>
    <mergeCell ref="J6:L6"/>
    <mergeCell ref="J4:L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63"/>
  <sheetViews>
    <sheetView showGridLines="0" workbookViewId="0">
      <selection activeCell="B14" sqref="B14:Q14"/>
    </sheetView>
  </sheetViews>
  <sheetFormatPr defaultRowHeight="15.75" x14ac:dyDescent="0.25"/>
  <cols>
    <col min="1" max="1" width="3" style="16" customWidth="1"/>
    <col min="2" max="2" width="14.28515625" style="16" bestFit="1" customWidth="1"/>
    <col min="3" max="3" width="9" style="16" bestFit="1" customWidth="1"/>
    <col min="4" max="4" width="12.42578125" style="16" bestFit="1" customWidth="1"/>
    <col min="5" max="5" width="6.28515625" style="16" customWidth="1"/>
    <col min="6" max="6" width="15.7109375" style="16" customWidth="1"/>
    <col min="7" max="7" width="9" style="16" customWidth="1"/>
    <col min="8" max="8" width="9.28515625" style="16" customWidth="1"/>
    <col min="9" max="9" width="4.5703125" style="16" bestFit="1" customWidth="1"/>
    <col min="10" max="10" width="14.28515625" style="16" bestFit="1" customWidth="1"/>
    <col min="11" max="11" width="12" style="16" bestFit="1" customWidth="1"/>
    <col min="12" max="12" width="12.42578125" style="16" bestFit="1" customWidth="1"/>
    <col min="13" max="13" width="10.5703125" style="16" bestFit="1" customWidth="1"/>
    <col min="14" max="14" width="12.28515625" style="16" customWidth="1"/>
    <col min="15" max="17" width="9.140625" style="16"/>
    <col min="18" max="18" width="7.140625" style="16" customWidth="1"/>
    <col min="19" max="19" width="9.140625" style="16"/>
    <col min="20" max="20" width="10.140625" style="16" bestFit="1" customWidth="1"/>
    <col min="21" max="22" width="10.5703125" style="16" bestFit="1" customWidth="1"/>
    <col min="23" max="255" width="9.140625" style="16"/>
    <col min="256" max="256" width="3" style="16" customWidth="1"/>
    <col min="257" max="263" width="14.42578125" style="16" customWidth="1"/>
    <col min="264" max="264" width="3" style="16" customWidth="1"/>
    <col min="265" max="266" width="11.85546875" style="16" bestFit="1" customWidth="1"/>
    <col min="267" max="511" width="9.140625" style="16"/>
    <col min="512" max="512" width="3" style="16" customWidth="1"/>
    <col min="513" max="519" width="14.42578125" style="16" customWidth="1"/>
    <col min="520" max="520" width="3" style="16" customWidth="1"/>
    <col min="521" max="522" width="11.85546875" style="16" bestFit="1" customWidth="1"/>
    <col min="523" max="767" width="9.140625" style="16"/>
    <col min="768" max="768" width="3" style="16" customWidth="1"/>
    <col min="769" max="775" width="14.42578125" style="16" customWidth="1"/>
    <col min="776" max="776" width="3" style="16" customWidth="1"/>
    <col min="777" max="778" width="11.85546875" style="16" bestFit="1" customWidth="1"/>
    <col min="779" max="1023" width="9.140625" style="16"/>
    <col min="1024" max="1024" width="3" style="16" customWidth="1"/>
    <col min="1025" max="1031" width="14.42578125" style="16" customWidth="1"/>
    <col min="1032" max="1032" width="3" style="16" customWidth="1"/>
    <col min="1033" max="1034" width="11.85546875" style="16" bestFit="1" customWidth="1"/>
    <col min="1035" max="1279" width="9.140625" style="16"/>
    <col min="1280" max="1280" width="3" style="16" customWidth="1"/>
    <col min="1281" max="1287" width="14.42578125" style="16" customWidth="1"/>
    <col min="1288" max="1288" width="3" style="16" customWidth="1"/>
    <col min="1289" max="1290" width="11.85546875" style="16" bestFit="1" customWidth="1"/>
    <col min="1291" max="1535" width="9.140625" style="16"/>
    <col min="1536" max="1536" width="3" style="16" customWidth="1"/>
    <col min="1537" max="1543" width="14.42578125" style="16" customWidth="1"/>
    <col min="1544" max="1544" width="3" style="16" customWidth="1"/>
    <col min="1545" max="1546" width="11.85546875" style="16" bestFit="1" customWidth="1"/>
    <col min="1547" max="1791" width="9.140625" style="16"/>
    <col min="1792" max="1792" width="3" style="16" customWidth="1"/>
    <col min="1793" max="1799" width="14.42578125" style="16" customWidth="1"/>
    <col min="1800" max="1800" width="3" style="16" customWidth="1"/>
    <col min="1801" max="1802" width="11.85546875" style="16" bestFit="1" customWidth="1"/>
    <col min="1803" max="2047" width="9.140625" style="16"/>
    <col min="2048" max="2048" width="3" style="16" customWidth="1"/>
    <col min="2049" max="2055" width="14.42578125" style="16" customWidth="1"/>
    <col min="2056" max="2056" width="3" style="16" customWidth="1"/>
    <col min="2057" max="2058" width="11.85546875" style="16" bestFit="1" customWidth="1"/>
    <col min="2059" max="2303" width="9.140625" style="16"/>
    <col min="2304" max="2304" width="3" style="16" customWidth="1"/>
    <col min="2305" max="2311" width="14.42578125" style="16" customWidth="1"/>
    <col min="2312" max="2312" width="3" style="16" customWidth="1"/>
    <col min="2313" max="2314" width="11.85546875" style="16" bestFit="1" customWidth="1"/>
    <col min="2315" max="2559" width="9.140625" style="16"/>
    <col min="2560" max="2560" width="3" style="16" customWidth="1"/>
    <col min="2561" max="2567" width="14.42578125" style="16" customWidth="1"/>
    <col min="2568" max="2568" width="3" style="16" customWidth="1"/>
    <col min="2569" max="2570" width="11.85546875" style="16" bestFit="1" customWidth="1"/>
    <col min="2571" max="2815" width="9.140625" style="16"/>
    <col min="2816" max="2816" width="3" style="16" customWidth="1"/>
    <col min="2817" max="2823" width="14.42578125" style="16" customWidth="1"/>
    <col min="2824" max="2824" width="3" style="16" customWidth="1"/>
    <col min="2825" max="2826" width="11.85546875" style="16" bestFit="1" customWidth="1"/>
    <col min="2827" max="3071" width="9.140625" style="16"/>
    <col min="3072" max="3072" width="3" style="16" customWidth="1"/>
    <col min="3073" max="3079" width="14.42578125" style="16" customWidth="1"/>
    <col min="3080" max="3080" width="3" style="16" customWidth="1"/>
    <col min="3081" max="3082" width="11.85546875" style="16" bestFit="1" customWidth="1"/>
    <col min="3083" max="3327" width="9.140625" style="16"/>
    <col min="3328" max="3328" width="3" style="16" customWidth="1"/>
    <col min="3329" max="3335" width="14.42578125" style="16" customWidth="1"/>
    <col min="3336" max="3336" width="3" style="16" customWidth="1"/>
    <col min="3337" max="3338" width="11.85546875" style="16" bestFit="1" customWidth="1"/>
    <col min="3339" max="3583" width="9.140625" style="16"/>
    <col min="3584" max="3584" width="3" style="16" customWidth="1"/>
    <col min="3585" max="3591" width="14.42578125" style="16" customWidth="1"/>
    <col min="3592" max="3592" width="3" style="16" customWidth="1"/>
    <col min="3593" max="3594" width="11.85546875" style="16" bestFit="1" customWidth="1"/>
    <col min="3595" max="3839" width="9.140625" style="16"/>
    <col min="3840" max="3840" width="3" style="16" customWidth="1"/>
    <col min="3841" max="3847" width="14.42578125" style="16" customWidth="1"/>
    <col min="3848" max="3848" width="3" style="16" customWidth="1"/>
    <col min="3849" max="3850" width="11.85546875" style="16" bestFit="1" customWidth="1"/>
    <col min="3851" max="4095" width="9.140625" style="16"/>
    <col min="4096" max="4096" width="3" style="16" customWidth="1"/>
    <col min="4097" max="4103" width="14.42578125" style="16" customWidth="1"/>
    <col min="4104" max="4104" width="3" style="16" customWidth="1"/>
    <col min="4105" max="4106" width="11.85546875" style="16" bestFit="1" customWidth="1"/>
    <col min="4107" max="4351" width="9.140625" style="16"/>
    <col min="4352" max="4352" width="3" style="16" customWidth="1"/>
    <col min="4353" max="4359" width="14.42578125" style="16" customWidth="1"/>
    <col min="4360" max="4360" width="3" style="16" customWidth="1"/>
    <col min="4361" max="4362" width="11.85546875" style="16" bestFit="1" customWidth="1"/>
    <col min="4363" max="4607" width="9.140625" style="16"/>
    <col min="4608" max="4608" width="3" style="16" customWidth="1"/>
    <col min="4609" max="4615" width="14.42578125" style="16" customWidth="1"/>
    <col min="4616" max="4616" width="3" style="16" customWidth="1"/>
    <col min="4617" max="4618" width="11.85546875" style="16" bestFit="1" customWidth="1"/>
    <col min="4619" max="4863" width="9.140625" style="16"/>
    <col min="4864" max="4864" width="3" style="16" customWidth="1"/>
    <col min="4865" max="4871" width="14.42578125" style="16" customWidth="1"/>
    <col min="4872" max="4872" width="3" style="16" customWidth="1"/>
    <col min="4873" max="4874" width="11.85546875" style="16" bestFit="1" customWidth="1"/>
    <col min="4875" max="5119" width="9.140625" style="16"/>
    <col min="5120" max="5120" width="3" style="16" customWidth="1"/>
    <col min="5121" max="5127" width="14.42578125" style="16" customWidth="1"/>
    <col min="5128" max="5128" width="3" style="16" customWidth="1"/>
    <col min="5129" max="5130" width="11.85546875" style="16" bestFit="1" customWidth="1"/>
    <col min="5131" max="5375" width="9.140625" style="16"/>
    <col min="5376" max="5376" width="3" style="16" customWidth="1"/>
    <col min="5377" max="5383" width="14.42578125" style="16" customWidth="1"/>
    <col min="5384" max="5384" width="3" style="16" customWidth="1"/>
    <col min="5385" max="5386" width="11.85546875" style="16" bestFit="1" customWidth="1"/>
    <col min="5387" max="5631" width="9.140625" style="16"/>
    <col min="5632" max="5632" width="3" style="16" customWidth="1"/>
    <col min="5633" max="5639" width="14.42578125" style="16" customWidth="1"/>
    <col min="5640" max="5640" width="3" style="16" customWidth="1"/>
    <col min="5641" max="5642" width="11.85546875" style="16" bestFit="1" customWidth="1"/>
    <col min="5643" max="5887" width="9.140625" style="16"/>
    <col min="5888" max="5888" width="3" style="16" customWidth="1"/>
    <col min="5889" max="5895" width="14.42578125" style="16" customWidth="1"/>
    <col min="5896" max="5896" width="3" style="16" customWidth="1"/>
    <col min="5897" max="5898" width="11.85546875" style="16" bestFit="1" customWidth="1"/>
    <col min="5899" max="6143" width="9.140625" style="16"/>
    <col min="6144" max="6144" width="3" style="16" customWidth="1"/>
    <col min="6145" max="6151" width="14.42578125" style="16" customWidth="1"/>
    <col min="6152" max="6152" width="3" style="16" customWidth="1"/>
    <col min="6153" max="6154" width="11.85546875" style="16" bestFit="1" customWidth="1"/>
    <col min="6155" max="6399" width="9.140625" style="16"/>
    <col min="6400" max="6400" width="3" style="16" customWidth="1"/>
    <col min="6401" max="6407" width="14.42578125" style="16" customWidth="1"/>
    <col min="6408" max="6408" width="3" style="16" customWidth="1"/>
    <col min="6409" max="6410" width="11.85546875" style="16" bestFit="1" customWidth="1"/>
    <col min="6411" max="6655" width="9.140625" style="16"/>
    <col min="6656" max="6656" width="3" style="16" customWidth="1"/>
    <col min="6657" max="6663" width="14.42578125" style="16" customWidth="1"/>
    <col min="6664" max="6664" width="3" style="16" customWidth="1"/>
    <col min="6665" max="6666" width="11.85546875" style="16" bestFit="1" customWidth="1"/>
    <col min="6667" max="6911" width="9.140625" style="16"/>
    <col min="6912" max="6912" width="3" style="16" customWidth="1"/>
    <col min="6913" max="6919" width="14.42578125" style="16" customWidth="1"/>
    <col min="6920" max="6920" width="3" style="16" customWidth="1"/>
    <col min="6921" max="6922" width="11.85546875" style="16" bestFit="1" customWidth="1"/>
    <col min="6923" max="7167" width="9.140625" style="16"/>
    <col min="7168" max="7168" width="3" style="16" customWidth="1"/>
    <col min="7169" max="7175" width="14.42578125" style="16" customWidth="1"/>
    <col min="7176" max="7176" width="3" style="16" customWidth="1"/>
    <col min="7177" max="7178" width="11.85546875" style="16" bestFit="1" customWidth="1"/>
    <col min="7179" max="7423" width="9.140625" style="16"/>
    <col min="7424" max="7424" width="3" style="16" customWidth="1"/>
    <col min="7425" max="7431" width="14.42578125" style="16" customWidth="1"/>
    <col min="7432" max="7432" width="3" style="16" customWidth="1"/>
    <col min="7433" max="7434" width="11.85546875" style="16" bestFit="1" customWidth="1"/>
    <col min="7435" max="7679" width="9.140625" style="16"/>
    <col min="7680" max="7680" width="3" style="16" customWidth="1"/>
    <col min="7681" max="7687" width="14.42578125" style="16" customWidth="1"/>
    <col min="7688" max="7688" width="3" style="16" customWidth="1"/>
    <col min="7689" max="7690" width="11.85546875" style="16" bestFit="1" customWidth="1"/>
    <col min="7691" max="7935" width="9.140625" style="16"/>
    <col min="7936" max="7936" width="3" style="16" customWidth="1"/>
    <col min="7937" max="7943" width="14.42578125" style="16" customWidth="1"/>
    <col min="7944" max="7944" width="3" style="16" customWidth="1"/>
    <col min="7945" max="7946" width="11.85546875" style="16" bestFit="1" customWidth="1"/>
    <col min="7947" max="8191" width="9.140625" style="16"/>
    <col min="8192" max="8192" width="3" style="16" customWidth="1"/>
    <col min="8193" max="8199" width="14.42578125" style="16" customWidth="1"/>
    <col min="8200" max="8200" width="3" style="16" customWidth="1"/>
    <col min="8201" max="8202" width="11.85546875" style="16" bestFit="1" customWidth="1"/>
    <col min="8203" max="8447" width="9.140625" style="16"/>
    <col min="8448" max="8448" width="3" style="16" customWidth="1"/>
    <col min="8449" max="8455" width="14.42578125" style="16" customWidth="1"/>
    <col min="8456" max="8456" width="3" style="16" customWidth="1"/>
    <col min="8457" max="8458" width="11.85546875" style="16" bestFit="1" customWidth="1"/>
    <col min="8459" max="8703" width="9.140625" style="16"/>
    <col min="8704" max="8704" width="3" style="16" customWidth="1"/>
    <col min="8705" max="8711" width="14.42578125" style="16" customWidth="1"/>
    <col min="8712" max="8712" width="3" style="16" customWidth="1"/>
    <col min="8713" max="8714" width="11.85546875" style="16" bestFit="1" customWidth="1"/>
    <col min="8715" max="8959" width="9.140625" style="16"/>
    <col min="8960" max="8960" width="3" style="16" customWidth="1"/>
    <col min="8961" max="8967" width="14.42578125" style="16" customWidth="1"/>
    <col min="8968" max="8968" width="3" style="16" customWidth="1"/>
    <col min="8969" max="8970" width="11.85546875" style="16" bestFit="1" customWidth="1"/>
    <col min="8971" max="9215" width="9.140625" style="16"/>
    <col min="9216" max="9216" width="3" style="16" customWidth="1"/>
    <col min="9217" max="9223" width="14.42578125" style="16" customWidth="1"/>
    <col min="9224" max="9224" width="3" style="16" customWidth="1"/>
    <col min="9225" max="9226" width="11.85546875" style="16" bestFit="1" customWidth="1"/>
    <col min="9227" max="9471" width="9.140625" style="16"/>
    <col min="9472" max="9472" width="3" style="16" customWidth="1"/>
    <col min="9473" max="9479" width="14.42578125" style="16" customWidth="1"/>
    <col min="9480" max="9480" width="3" style="16" customWidth="1"/>
    <col min="9481" max="9482" width="11.85546875" style="16" bestFit="1" customWidth="1"/>
    <col min="9483" max="9727" width="9.140625" style="16"/>
    <col min="9728" max="9728" width="3" style="16" customWidth="1"/>
    <col min="9729" max="9735" width="14.42578125" style="16" customWidth="1"/>
    <col min="9736" max="9736" width="3" style="16" customWidth="1"/>
    <col min="9737" max="9738" width="11.85546875" style="16" bestFit="1" customWidth="1"/>
    <col min="9739" max="9983" width="9.140625" style="16"/>
    <col min="9984" max="9984" width="3" style="16" customWidth="1"/>
    <col min="9985" max="9991" width="14.42578125" style="16" customWidth="1"/>
    <col min="9992" max="9992" width="3" style="16" customWidth="1"/>
    <col min="9993" max="9994" width="11.85546875" style="16" bestFit="1" customWidth="1"/>
    <col min="9995" max="10239" width="9.140625" style="16"/>
    <col min="10240" max="10240" width="3" style="16" customWidth="1"/>
    <col min="10241" max="10247" width="14.42578125" style="16" customWidth="1"/>
    <col min="10248" max="10248" width="3" style="16" customWidth="1"/>
    <col min="10249" max="10250" width="11.85546875" style="16" bestFit="1" customWidth="1"/>
    <col min="10251" max="10495" width="9.140625" style="16"/>
    <col min="10496" max="10496" width="3" style="16" customWidth="1"/>
    <col min="10497" max="10503" width="14.42578125" style="16" customWidth="1"/>
    <col min="10504" max="10504" width="3" style="16" customWidth="1"/>
    <col min="10505" max="10506" width="11.85546875" style="16" bestFit="1" customWidth="1"/>
    <col min="10507" max="10751" width="9.140625" style="16"/>
    <col min="10752" max="10752" width="3" style="16" customWidth="1"/>
    <col min="10753" max="10759" width="14.42578125" style="16" customWidth="1"/>
    <col min="10760" max="10760" width="3" style="16" customWidth="1"/>
    <col min="10761" max="10762" width="11.85546875" style="16" bestFit="1" customWidth="1"/>
    <col min="10763" max="11007" width="9.140625" style="16"/>
    <col min="11008" max="11008" width="3" style="16" customWidth="1"/>
    <col min="11009" max="11015" width="14.42578125" style="16" customWidth="1"/>
    <col min="11016" max="11016" width="3" style="16" customWidth="1"/>
    <col min="11017" max="11018" width="11.85546875" style="16" bestFit="1" customWidth="1"/>
    <col min="11019" max="11263" width="9.140625" style="16"/>
    <col min="11264" max="11264" width="3" style="16" customWidth="1"/>
    <col min="11265" max="11271" width="14.42578125" style="16" customWidth="1"/>
    <col min="11272" max="11272" width="3" style="16" customWidth="1"/>
    <col min="11273" max="11274" width="11.85546875" style="16" bestFit="1" customWidth="1"/>
    <col min="11275" max="11519" width="9.140625" style="16"/>
    <col min="11520" max="11520" width="3" style="16" customWidth="1"/>
    <col min="11521" max="11527" width="14.42578125" style="16" customWidth="1"/>
    <col min="11528" max="11528" width="3" style="16" customWidth="1"/>
    <col min="11529" max="11530" width="11.85546875" style="16" bestFit="1" customWidth="1"/>
    <col min="11531" max="11775" width="9.140625" style="16"/>
    <col min="11776" max="11776" width="3" style="16" customWidth="1"/>
    <col min="11777" max="11783" width="14.42578125" style="16" customWidth="1"/>
    <col min="11784" max="11784" width="3" style="16" customWidth="1"/>
    <col min="11785" max="11786" width="11.85546875" style="16" bestFit="1" customWidth="1"/>
    <col min="11787" max="12031" width="9.140625" style="16"/>
    <col min="12032" max="12032" width="3" style="16" customWidth="1"/>
    <col min="12033" max="12039" width="14.42578125" style="16" customWidth="1"/>
    <col min="12040" max="12040" width="3" style="16" customWidth="1"/>
    <col min="12041" max="12042" width="11.85546875" style="16" bestFit="1" customWidth="1"/>
    <col min="12043" max="12287" width="9.140625" style="16"/>
    <col min="12288" max="12288" width="3" style="16" customWidth="1"/>
    <col min="12289" max="12295" width="14.42578125" style="16" customWidth="1"/>
    <col min="12296" max="12296" width="3" style="16" customWidth="1"/>
    <col min="12297" max="12298" width="11.85546875" style="16" bestFit="1" customWidth="1"/>
    <col min="12299" max="12543" width="9.140625" style="16"/>
    <col min="12544" max="12544" width="3" style="16" customWidth="1"/>
    <col min="12545" max="12551" width="14.42578125" style="16" customWidth="1"/>
    <col min="12552" max="12552" width="3" style="16" customWidth="1"/>
    <col min="12553" max="12554" width="11.85546875" style="16" bestFit="1" customWidth="1"/>
    <col min="12555" max="12799" width="9.140625" style="16"/>
    <col min="12800" max="12800" width="3" style="16" customWidth="1"/>
    <col min="12801" max="12807" width="14.42578125" style="16" customWidth="1"/>
    <col min="12808" max="12808" width="3" style="16" customWidth="1"/>
    <col min="12809" max="12810" width="11.85546875" style="16" bestFit="1" customWidth="1"/>
    <col min="12811" max="13055" width="9.140625" style="16"/>
    <col min="13056" max="13056" width="3" style="16" customWidth="1"/>
    <col min="13057" max="13063" width="14.42578125" style="16" customWidth="1"/>
    <col min="13064" max="13064" width="3" style="16" customWidth="1"/>
    <col min="13065" max="13066" width="11.85546875" style="16" bestFit="1" customWidth="1"/>
    <col min="13067" max="13311" width="9.140625" style="16"/>
    <col min="13312" max="13312" width="3" style="16" customWidth="1"/>
    <col min="13313" max="13319" width="14.42578125" style="16" customWidth="1"/>
    <col min="13320" max="13320" width="3" style="16" customWidth="1"/>
    <col min="13321" max="13322" width="11.85546875" style="16" bestFit="1" customWidth="1"/>
    <col min="13323" max="13567" width="9.140625" style="16"/>
    <col min="13568" max="13568" width="3" style="16" customWidth="1"/>
    <col min="13569" max="13575" width="14.42578125" style="16" customWidth="1"/>
    <col min="13576" max="13576" width="3" style="16" customWidth="1"/>
    <col min="13577" max="13578" width="11.85546875" style="16" bestFit="1" customWidth="1"/>
    <col min="13579" max="13823" width="9.140625" style="16"/>
    <col min="13824" max="13824" width="3" style="16" customWidth="1"/>
    <col min="13825" max="13831" width="14.42578125" style="16" customWidth="1"/>
    <col min="13832" max="13832" width="3" style="16" customWidth="1"/>
    <col min="13833" max="13834" width="11.85546875" style="16" bestFit="1" customWidth="1"/>
    <col min="13835" max="14079" width="9.140625" style="16"/>
    <col min="14080" max="14080" width="3" style="16" customWidth="1"/>
    <col min="14081" max="14087" width="14.42578125" style="16" customWidth="1"/>
    <col min="14088" max="14088" width="3" style="16" customWidth="1"/>
    <col min="14089" max="14090" width="11.85546875" style="16" bestFit="1" customWidth="1"/>
    <col min="14091" max="14335" width="9.140625" style="16"/>
    <col min="14336" max="14336" width="3" style="16" customWidth="1"/>
    <col min="14337" max="14343" width="14.42578125" style="16" customWidth="1"/>
    <col min="14344" max="14344" width="3" style="16" customWidth="1"/>
    <col min="14345" max="14346" width="11.85546875" style="16" bestFit="1" customWidth="1"/>
    <col min="14347" max="14591" width="9.140625" style="16"/>
    <col min="14592" max="14592" width="3" style="16" customWidth="1"/>
    <col min="14593" max="14599" width="14.42578125" style="16" customWidth="1"/>
    <col min="14600" max="14600" width="3" style="16" customWidth="1"/>
    <col min="14601" max="14602" width="11.85546875" style="16" bestFit="1" customWidth="1"/>
    <col min="14603" max="14847" width="9.140625" style="16"/>
    <col min="14848" max="14848" width="3" style="16" customWidth="1"/>
    <col min="14849" max="14855" width="14.42578125" style="16" customWidth="1"/>
    <col min="14856" max="14856" width="3" style="16" customWidth="1"/>
    <col min="14857" max="14858" width="11.85546875" style="16" bestFit="1" customWidth="1"/>
    <col min="14859" max="15103" width="9.140625" style="16"/>
    <col min="15104" max="15104" width="3" style="16" customWidth="1"/>
    <col min="15105" max="15111" width="14.42578125" style="16" customWidth="1"/>
    <col min="15112" max="15112" width="3" style="16" customWidth="1"/>
    <col min="15113" max="15114" width="11.85546875" style="16" bestFit="1" customWidth="1"/>
    <col min="15115" max="15359" width="9.140625" style="16"/>
    <col min="15360" max="15360" width="3" style="16" customWidth="1"/>
    <col min="15361" max="15367" width="14.42578125" style="16" customWidth="1"/>
    <col min="15368" max="15368" width="3" style="16" customWidth="1"/>
    <col min="15369" max="15370" width="11.85546875" style="16" bestFit="1" customWidth="1"/>
    <col min="15371" max="15615" width="9.140625" style="16"/>
    <col min="15616" max="15616" width="3" style="16" customWidth="1"/>
    <col min="15617" max="15623" width="14.42578125" style="16" customWidth="1"/>
    <col min="15624" max="15624" width="3" style="16" customWidth="1"/>
    <col min="15625" max="15626" width="11.85546875" style="16" bestFit="1" customWidth="1"/>
    <col min="15627" max="15871" width="9.140625" style="16"/>
    <col min="15872" max="15872" width="3" style="16" customWidth="1"/>
    <col min="15873" max="15879" width="14.42578125" style="16" customWidth="1"/>
    <col min="15880" max="15880" width="3" style="16" customWidth="1"/>
    <col min="15881" max="15882" width="11.85546875" style="16" bestFit="1" customWidth="1"/>
    <col min="15883" max="16127" width="9.140625" style="16"/>
    <col min="16128" max="16128" width="3" style="16" customWidth="1"/>
    <col min="16129" max="16135" width="14.42578125" style="16" customWidth="1"/>
    <col min="16136" max="16136" width="3" style="16" customWidth="1"/>
    <col min="16137" max="16138" width="11.85546875" style="16" bestFit="1" customWidth="1"/>
    <col min="16139" max="16384" width="9.140625" style="16"/>
  </cols>
  <sheetData>
    <row r="1" spans="1:17" ht="15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7" ht="27.75" customHeight="1" x14ac:dyDescent="0.35">
      <c r="A2"/>
      <c r="B2" s="214" t="s">
        <v>234</v>
      </c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</row>
    <row r="3" spans="1:17" ht="15.75" customHeight="1" x14ac:dyDescent="0.25">
      <c r="A3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7" x14ac:dyDescent="0.25">
      <c r="A4" s="15"/>
      <c r="B4" s="229" t="s">
        <v>231</v>
      </c>
      <c r="C4" s="229"/>
      <c r="D4" s="167"/>
      <c r="E4" s="167">
        <v>0.25</v>
      </c>
      <c r="F4" s="18" t="s">
        <v>226</v>
      </c>
      <c r="G4" s="18"/>
      <c r="H4" s="18"/>
      <c r="I4" s="168">
        <v>0.15</v>
      </c>
      <c r="J4" s="18" t="s">
        <v>227</v>
      </c>
      <c r="K4" s="8"/>
      <c r="L4" s="8"/>
      <c r="M4" s="8"/>
    </row>
    <row r="5" spans="1:17" x14ac:dyDescent="0.25">
      <c r="A5" s="15"/>
      <c r="B5" s="229" t="s">
        <v>228</v>
      </c>
      <c r="C5" s="229"/>
      <c r="D5" s="167"/>
      <c r="E5" s="167">
        <v>0.5</v>
      </c>
      <c r="F5" s="18" t="s">
        <v>229</v>
      </c>
      <c r="G5" s="33"/>
      <c r="H5" s="33"/>
      <c r="I5" s="168">
        <v>0.3</v>
      </c>
      <c r="J5" s="33" t="s">
        <v>230</v>
      </c>
      <c r="K5" s="8"/>
      <c r="L5" s="8"/>
      <c r="M5" s="8"/>
    </row>
    <row r="6" spans="1:17" x14ac:dyDescent="0.25">
      <c r="B6" s="229" t="s">
        <v>232</v>
      </c>
      <c r="C6" s="229"/>
      <c r="D6" s="167"/>
      <c r="E6" s="167">
        <v>0.15</v>
      </c>
      <c r="F6" s="18" t="s">
        <v>233</v>
      </c>
    </row>
    <row r="7" spans="1:17" x14ac:dyDescent="0.25">
      <c r="B7" s="229" t="s">
        <v>237</v>
      </c>
      <c r="C7" s="229"/>
      <c r="D7" s="167"/>
      <c r="E7" s="167">
        <v>0</v>
      </c>
      <c r="F7" s="18" t="s">
        <v>239</v>
      </c>
      <c r="G7" s="18"/>
      <c r="H7" s="18"/>
      <c r="I7" s="167">
        <v>0.3</v>
      </c>
      <c r="J7" s="18" t="s">
        <v>240</v>
      </c>
      <c r="K7" s="8"/>
      <c r="L7" s="8"/>
      <c r="M7" s="8"/>
    </row>
    <row r="8" spans="1:17" x14ac:dyDescent="0.25">
      <c r="B8" s="229" t="s">
        <v>238</v>
      </c>
      <c r="C8" s="229"/>
      <c r="D8" s="167"/>
      <c r="E8" s="167">
        <v>0.15</v>
      </c>
      <c r="F8" s="18" t="s">
        <v>239</v>
      </c>
      <c r="G8" s="18"/>
      <c r="H8" s="18"/>
      <c r="I8" s="167">
        <v>0.15</v>
      </c>
      <c r="J8" s="18" t="s">
        <v>240</v>
      </c>
      <c r="K8" s="8"/>
      <c r="L8" s="8"/>
      <c r="M8" s="8"/>
    </row>
    <row r="9" spans="1:17" x14ac:dyDescent="0.25">
      <c r="B9" s="229" t="s">
        <v>257</v>
      </c>
      <c r="C9" s="229"/>
      <c r="D9" s="167"/>
      <c r="E9" s="167">
        <v>0.1</v>
      </c>
      <c r="F9" s="18" t="s">
        <v>239</v>
      </c>
      <c r="G9" s="18"/>
      <c r="H9" s="18"/>
      <c r="I9" s="168">
        <v>0.2</v>
      </c>
      <c r="J9" s="18" t="s">
        <v>240</v>
      </c>
      <c r="K9" s="8"/>
      <c r="L9" s="8"/>
      <c r="M9" s="8"/>
    </row>
    <row r="10" spans="1:17" x14ac:dyDescent="0.25">
      <c r="B10" s="229"/>
      <c r="C10" s="229"/>
      <c r="D10" s="167"/>
      <c r="E10" s="167"/>
      <c r="F10" s="18"/>
      <c r="G10" s="18"/>
      <c r="H10" s="18"/>
      <c r="I10" s="168"/>
      <c r="J10" s="18"/>
      <c r="K10" s="8"/>
      <c r="L10" s="8"/>
      <c r="M10" s="8"/>
    </row>
    <row r="11" spans="1:17" x14ac:dyDescent="0.25">
      <c r="B11" s="229"/>
      <c r="C11" s="229"/>
      <c r="D11" s="167"/>
      <c r="E11" s="167"/>
      <c r="F11" s="18"/>
      <c r="G11" s="18"/>
      <c r="H11" s="18"/>
      <c r="I11" s="168"/>
      <c r="J11" s="18"/>
      <c r="K11" s="8"/>
      <c r="L11" s="8"/>
      <c r="M11" s="8"/>
    </row>
    <row r="12" spans="1:17" x14ac:dyDescent="0.25">
      <c r="B12" s="229"/>
      <c r="C12" s="229"/>
      <c r="D12" s="167"/>
      <c r="E12" s="167"/>
      <c r="F12" s="18"/>
      <c r="G12" s="18"/>
      <c r="H12" s="18"/>
      <c r="I12" s="168"/>
      <c r="J12" s="18"/>
      <c r="K12" s="8"/>
      <c r="L12" s="8"/>
      <c r="M12" s="8"/>
    </row>
    <row r="14" spans="1:17" x14ac:dyDescent="0.25">
      <c r="B14" s="233" t="s">
        <v>235</v>
      </c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</row>
    <row r="15" spans="1:17" x14ac:dyDescent="0.25">
      <c r="B15" s="234" t="s">
        <v>236</v>
      </c>
      <c r="C15" s="234"/>
      <c r="D15" s="234"/>
      <c r="E15" s="234"/>
      <c r="F15" s="234"/>
      <c r="G15" s="234"/>
      <c r="H15" s="234"/>
      <c r="I15" s="234"/>
      <c r="J15" s="234"/>
      <c r="K15" s="234"/>
      <c r="L15" s="234"/>
      <c r="M15" s="234"/>
      <c r="N15" s="234"/>
      <c r="O15" s="234"/>
      <c r="P15" s="234"/>
      <c r="Q15" s="234"/>
    </row>
    <row r="48" spans="23:33" x14ac:dyDescent="0.25">
      <c r="W48" s="169" t="s">
        <v>241</v>
      </c>
      <c r="X48" s="170" t="s">
        <v>5</v>
      </c>
      <c r="Y48" s="170" t="s">
        <v>242</v>
      </c>
      <c r="Z48" s="170" t="s">
        <v>243</v>
      </c>
      <c r="AA48" s="170" t="s">
        <v>244</v>
      </c>
      <c r="AB48" s="171" t="s">
        <v>245</v>
      </c>
      <c r="AC48" s="170" t="s">
        <v>129</v>
      </c>
      <c r="AD48" s="172" t="s">
        <v>246</v>
      </c>
      <c r="AE48" s="172" t="s">
        <v>247</v>
      </c>
      <c r="AF48" s="232" t="s">
        <v>248</v>
      </c>
      <c r="AG48" s="232"/>
    </row>
    <row r="49" spans="23:33" x14ac:dyDescent="0.25">
      <c r="W49" s="173" t="s">
        <v>249</v>
      </c>
      <c r="X49" s="174" t="s">
        <v>250</v>
      </c>
      <c r="Y49" s="174" t="s">
        <v>250</v>
      </c>
      <c r="Z49" s="174" t="s">
        <v>251</v>
      </c>
      <c r="AA49" s="175">
        <v>0.15</v>
      </c>
      <c r="AB49" s="176" t="s">
        <v>252</v>
      </c>
      <c r="AC49" s="177" t="s">
        <v>253</v>
      </c>
      <c r="AD49" s="178" t="s">
        <v>254</v>
      </c>
      <c r="AE49" s="178" t="s">
        <v>255</v>
      </c>
      <c r="AF49" s="230" t="s">
        <v>256</v>
      </c>
      <c r="AG49" s="231"/>
    </row>
    <row r="50" spans="23:33" x14ac:dyDescent="0.25">
      <c r="W50" s="173" t="s">
        <v>257</v>
      </c>
      <c r="X50" s="174" t="s">
        <v>250</v>
      </c>
      <c r="Y50" s="174" t="s">
        <v>250</v>
      </c>
      <c r="Z50" s="174" t="s">
        <v>251</v>
      </c>
      <c r="AA50" s="179" t="s">
        <v>258</v>
      </c>
      <c r="AB50" s="176" t="s">
        <v>259</v>
      </c>
      <c r="AC50" s="177" t="s">
        <v>253</v>
      </c>
      <c r="AD50" s="178" t="s">
        <v>260</v>
      </c>
      <c r="AE50" s="178"/>
      <c r="AF50" s="230" t="s">
        <v>261</v>
      </c>
      <c r="AG50" s="231"/>
    </row>
    <row r="51" spans="23:33" x14ac:dyDescent="0.25">
      <c r="W51" s="180" t="s">
        <v>262</v>
      </c>
      <c r="X51" s="181">
        <v>42</v>
      </c>
      <c r="Y51" s="182">
        <v>48</v>
      </c>
      <c r="Z51" s="182" t="s">
        <v>263</v>
      </c>
      <c r="AA51" s="183">
        <v>0.12</v>
      </c>
      <c r="AB51" s="184" t="s">
        <v>264</v>
      </c>
      <c r="AC51" s="185" t="s">
        <v>44</v>
      </c>
      <c r="AD51" s="186" t="s">
        <v>265</v>
      </c>
      <c r="AE51" s="186" t="s">
        <v>266</v>
      </c>
      <c r="AF51" s="187" t="s">
        <v>256</v>
      </c>
      <c r="AG51" s="188"/>
    </row>
    <row r="52" spans="23:33" x14ac:dyDescent="0.25">
      <c r="W52" s="180" t="s">
        <v>267</v>
      </c>
      <c r="X52" s="181">
        <v>42</v>
      </c>
      <c r="Y52" s="182">
        <v>48</v>
      </c>
      <c r="Z52" s="182" t="s">
        <v>263</v>
      </c>
      <c r="AA52" s="183">
        <v>0.12</v>
      </c>
      <c r="AB52" s="184" t="s">
        <v>264</v>
      </c>
      <c r="AC52" s="185" t="s">
        <v>44</v>
      </c>
      <c r="AD52" s="186" t="s">
        <v>268</v>
      </c>
      <c r="AE52" s="186" t="s">
        <v>269</v>
      </c>
      <c r="AF52" s="187" t="s">
        <v>256</v>
      </c>
      <c r="AG52" s="188"/>
    </row>
    <row r="53" spans="23:33" x14ac:dyDescent="0.25">
      <c r="W53" s="173" t="s">
        <v>270</v>
      </c>
      <c r="X53" s="174" t="s">
        <v>250</v>
      </c>
      <c r="Y53" s="174" t="s">
        <v>250</v>
      </c>
      <c r="Z53" s="174" t="s">
        <v>251</v>
      </c>
      <c r="AA53" s="175">
        <v>0.2</v>
      </c>
      <c r="AB53" s="176" t="s">
        <v>271</v>
      </c>
      <c r="AC53" s="177" t="s">
        <v>253</v>
      </c>
      <c r="AD53" s="178" t="s">
        <v>272</v>
      </c>
      <c r="AE53" s="178" t="s">
        <v>273</v>
      </c>
      <c r="AF53" s="230" t="s">
        <v>274</v>
      </c>
      <c r="AG53" s="231"/>
    </row>
    <row r="54" spans="23:33" x14ac:dyDescent="0.25">
      <c r="W54" s="173" t="s">
        <v>275</v>
      </c>
      <c r="X54" s="174" t="s">
        <v>250</v>
      </c>
      <c r="Y54" s="174" t="s">
        <v>250</v>
      </c>
      <c r="Z54" s="174" t="s">
        <v>251</v>
      </c>
      <c r="AA54" s="175">
        <v>0.15</v>
      </c>
      <c r="AB54" s="176" t="s">
        <v>276</v>
      </c>
      <c r="AC54" s="177" t="s">
        <v>253</v>
      </c>
      <c r="AD54" s="178" t="s">
        <v>277</v>
      </c>
      <c r="AE54" s="178" t="s">
        <v>278</v>
      </c>
      <c r="AF54" s="230" t="s">
        <v>279</v>
      </c>
      <c r="AG54" s="231"/>
    </row>
    <row r="55" spans="23:33" x14ac:dyDescent="0.25">
      <c r="W55" s="173" t="s">
        <v>280</v>
      </c>
      <c r="X55" s="174" t="s">
        <v>250</v>
      </c>
      <c r="Y55" s="174" t="s">
        <v>250</v>
      </c>
      <c r="Z55" s="174" t="s">
        <v>251</v>
      </c>
      <c r="AA55" s="175">
        <v>0.2</v>
      </c>
      <c r="AB55" s="176" t="s">
        <v>271</v>
      </c>
      <c r="AC55" s="177" t="s">
        <v>253</v>
      </c>
      <c r="AD55" s="178" t="s">
        <v>281</v>
      </c>
      <c r="AE55" s="178" t="s">
        <v>282</v>
      </c>
      <c r="AF55" s="230" t="s">
        <v>274</v>
      </c>
      <c r="AG55" s="231"/>
    </row>
    <row r="56" spans="23:33" x14ac:dyDescent="0.25">
      <c r="W56" s="173" t="s">
        <v>283</v>
      </c>
      <c r="X56" s="174" t="s">
        <v>250</v>
      </c>
      <c r="Y56" s="174" t="s">
        <v>250</v>
      </c>
      <c r="Z56" s="174" t="s">
        <v>251</v>
      </c>
      <c r="AA56" s="175">
        <v>0.25</v>
      </c>
      <c r="AB56" s="176" t="s">
        <v>271</v>
      </c>
      <c r="AC56" s="177" t="s">
        <v>253</v>
      </c>
      <c r="AD56" s="178" t="s">
        <v>284</v>
      </c>
      <c r="AE56" s="178" t="s">
        <v>285</v>
      </c>
      <c r="AF56" s="230" t="s">
        <v>261</v>
      </c>
      <c r="AG56" s="231"/>
    </row>
    <row r="57" spans="23:33" x14ac:dyDescent="0.25">
      <c r="W57" s="180" t="s">
        <v>228</v>
      </c>
      <c r="X57" s="182" t="s">
        <v>250</v>
      </c>
      <c r="Y57" s="182" t="s">
        <v>250</v>
      </c>
      <c r="Z57" s="182" t="s">
        <v>251</v>
      </c>
      <c r="AA57" s="183">
        <v>0.2</v>
      </c>
      <c r="AB57" s="184" t="s">
        <v>276</v>
      </c>
      <c r="AC57" s="185" t="s">
        <v>253</v>
      </c>
      <c r="AD57" s="186" t="s">
        <v>286</v>
      </c>
      <c r="AE57" s="178"/>
      <c r="AF57" s="230" t="s">
        <v>274</v>
      </c>
      <c r="AG57" s="231"/>
    </row>
    <row r="58" spans="23:33" x14ac:dyDescent="0.25">
      <c r="W58" s="180" t="s">
        <v>287</v>
      </c>
      <c r="X58" s="182" t="s">
        <v>250</v>
      </c>
      <c r="Y58" s="182" t="s">
        <v>250</v>
      </c>
      <c r="Z58" s="182" t="s">
        <v>251</v>
      </c>
      <c r="AA58" s="183">
        <v>0.2</v>
      </c>
      <c r="AB58" s="184" t="s">
        <v>276</v>
      </c>
      <c r="AC58" s="185" t="s">
        <v>253</v>
      </c>
      <c r="AD58" s="186" t="s">
        <v>288</v>
      </c>
      <c r="AE58" s="178" t="s">
        <v>289</v>
      </c>
      <c r="AF58" s="230" t="s">
        <v>279</v>
      </c>
      <c r="AG58" s="231"/>
    </row>
    <row r="59" spans="23:33" x14ac:dyDescent="0.25">
      <c r="W59" s="189" t="s">
        <v>290</v>
      </c>
      <c r="X59" s="174" t="s">
        <v>250</v>
      </c>
      <c r="Y59" s="174" t="s">
        <v>250</v>
      </c>
      <c r="Z59" s="174" t="s">
        <v>291</v>
      </c>
      <c r="AA59" s="179" t="s">
        <v>292</v>
      </c>
      <c r="AB59" s="176" t="s">
        <v>293</v>
      </c>
      <c r="AC59" s="177" t="s">
        <v>294</v>
      </c>
      <c r="AD59" s="178" t="s">
        <v>295</v>
      </c>
      <c r="AE59" s="178" t="s">
        <v>296</v>
      </c>
      <c r="AF59" s="230" t="s">
        <v>274</v>
      </c>
      <c r="AG59" s="231"/>
    </row>
    <row r="60" spans="23:33" x14ac:dyDescent="0.25">
      <c r="W60" s="189" t="s">
        <v>297</v>
      </c>
      <c r="X60" s="174" t="s">
        <v>250</v>
      </c>
      <c r="Y60" s="174" t="s">
        <v>250</v>
      </c>
      <c r="Z60" s="174" t="s">
        <v>251</v>
      </c>
      <c r="AA60" s="175">
        <v>0.3</v>
      </c>
      <c r="AB60" s="176" t="s">
        <v>298</v>
      </c>
      <c r="AC60" s="177" t="s">
        <v>294</v>
      </c>
      <c r="AD60" s="178" t="s">
        <v>299</v>
      </c>
      <c r="AE60" s="178" t="s">
        <v>300</v>
      </c>
      <c r="AF60" s="230" t="s">
        <v>274</v>
      </c>
      <c r="AG60" s="231"/>
    </row>
    <row r="61" spans="23:33" x14ac:dyDescent="0.25">
      <c r="W61" s="189" t="s">
        <v>301</v>
      </c>
      <c r="X61" s="174" t="s">
        <v>250</v>
      </c>
      <c r="Y61" s="174" t="s">
        <v>250</v>
      </c>
      <c r="Z61" s="174" t="s">
        <v>251</v>
      </c>
      <c r="AA61" s="175">
        <v>0.3</v>
      </c>
      <c r="AB61" s="176" t="s">
        <v>302</v>
      </c>
      <c r="AC61" s="177" t="s">
        <v>294</v>
      </c>
      <c r="AD61" s="178" t="s">
        <v>303</v>
      </c>
      <c r="AE61" s="178" t="s">
        <v>304</v>
      </c>
      <c r="AF61" s="230" t="s">
        <v>274</v>
      </c>
      <c r="AG61" s="231"/>
    </row>
    <row r="62" spans="23:33" x14ac:dyDescent="0.25">
      <c r="W62" s="173" t="s">
        <v>305</v>
      </c>
      <c r="X62" s="174" t="s">
        <v>250</v>
      </c>
      <c r="Y62" s="174" t="s">
        <v>250</v>
      </c>
      <c r="Z62" s="174" t="s">
        <v>251</v>
      </c>
      <c r="AA62" s="175">
        <v>0.15</v>
      </c>
      <c r="AB62" s="176" t="s">
        <v>252</v>
      </c>
      <c r="AC62" s="177" t="s">
        <v>253</v>
      </c>
      <c r="AD62" s="178" t="s">
        <v>306</v>
      </c>
      <c r="AE62" s="178"/>
      <c r="AF62" s="230" t="s">
        <v>279</v>
      </c>
      <c r="AG62" s="231"/>
    </row>
    <row r="63" spans="23:33" x14ac:dyDescent="0.25">
      <c r="W63" s="173" t="s">
        <v>307</v>
      </c>
      <c r="X63" s="174" t="s">
        <v>250</v>
      </c>
      <c r="Y63" s="174" t="s">
        <v>250</v>
      </c>
      <c r="Z63" s="174" t="s">
        <v>251</v>
      </c>
      <c r="AA63" s="175">
        <v>0.3</v>
      </c>
      <c r="AB63" s="176" t="s">
        <v>308</v>
      </c>
      <c r="AC63" s="177" t="s">
        <v>253</v>
      </c>
      <c r="AD63" s="178" t="s">
        <v>309</v>
      </c>
      <c r="AE63" s="178"/>
      <c r="AF63" s="230" t="s">
        <v>279</v>
      </c>
      <c r="AG63" s="231"/>
    </row>
  </sheetData>
  <mergeCells count="26">
    <mergeCell ref="B14:Q14"/>
    <mergeCell ref="B15:Q15"/>
    <mergeCell ref="B8:C8"/>
    <mergeCell ref="B9:C9"/>
    <mergeCell ref="B10:C10"/>
    <mergeCell ref="B11:C11"/>
    <mergeCell ref="B12:C12"/>
    <mergeCell ref="B4:C4"/>
    <mergeCell ref="B2:P2"/>
    <mergeCell ref="B5:C5"/>
    <mergeCell ref="B6:C6"/>
    <mergeCell ref="B7:C7"/>
    <mergeCell ref="AF48:AG48"/>
    <mergeCell ref="AF49:AG49"/>
    <mergeCell ref="AF50:AG50"/>
    <mergeCell ref="AF53:AG53"/>
    <mergeCell ref="AF54:AG54"/>
    <mergeCell ref="AF60:AG60"/>
    <mergeCell ref="AF61:AG61"/>
    <mergeCell ref="AF62:AG62"/>
    <mergeCell ref="AF63:AG63"/>
    <mergeCell ref="AF55:AG55"/>
    <mergeCell ref="AF56:AG56"/>
    <mergeCell ref="AF57:AG57"/>
    <mergeCell ref="AF58:AG58"/>
    <mergeCell ref="AF59:AG59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KIT ESPORTIVO</vt:lpstr>
      <vt:lpstr>CAMISA MALHA</vt:lpstr>
      <vt:lpstr>ESTAMPA TOTAL</vt:lpstr>
      <vt:lpstr>CAMISA PP BRANCA</vt:lpstr>
      <vt:lpstr>SOCIAL</vt:lpstr>
      <vt:lpstr>SERVIÇO PEDIDO</vt:lpstr>
      <vt:lpstr>SERVIÇO EXTERNO OS</vt:lpstr>
      <vt:lpstr>TACTEL &amp; HELANCA</vt:lpstr>
      <vt:lpstr>BANDEIRA</vt:lpstr>
      <vt:lpstr>ABADÁ</vt:lpstr>
      <vt:lpstr>PARCERIAS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Gomes</dc:creator>
  <cp:lastModifiedBy>Bruno Gomes</cp:lastModifiedBy>
  <cp:lastPrinted>2023-09-08T17:58:46Z</cp:lastPrinted>
  <dcterms:created xsi:type="dcterms:W3CDTF">2022-07-12T17:48:32Z</dcterms:created>
  <dcterms:modified xsi:type="dcterms:W3CDTF">2025-10-29T13:06:07Z</dcterms:modified>
</cp:coreProperties>
</file>